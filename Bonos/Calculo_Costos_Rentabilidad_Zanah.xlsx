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 Olga\4. Proyectos Personales\3. Infoproductos Hotmart\02. Productos\39. 🥕 Carrot Cake\Ebook\Bonos\"/>
    </mc:Choice>
  </mc:AlternateContent>
  <xr:revisionPtr revIDLastSave="0" documentId="13_ncr:1_{A7945F22-8DA1-4C13-9A0A-840943F19A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o de Ejemplo" sheetId="1" r:id="rId1"/>
    <sheet name="Tu Produc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N26" i="2"/>
  <c r="G26" i="2"/>
  <c r="N25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G27" i="1"/>
  <c r="N26" i="1"/>
  <c r="G26" i="1"/>
  <c r="N25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G25" i="2" l="1"/>
  <c r="G28" i="2" s="1"/>
  <c r="N27" i="2" s="1"/>
  <c r="G25" i="1"/>
  <c r="G28" i="1" s="1"/>
  <c r="G29" i="1" s="1"/>
  <c r="G29" i="2" l="1"/>
  <c r="N29" i="2"/>
  <c r="N28" i="2"/>
  <c r="N27" i="1"/>
  <c r="N29" i="1" s="1"/>
  <c r="N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N4" authorId="0" shapeId="0" xr:uid="{00000000-0006-0000-0000-000001000000}">
      <text>
        <r>
          <rPr>
            <sz val="11"/>
            <color theme="1"/>
            <rFont val="Calibri"/>
            <scheme val="minor"/>
          </rPr>
          <t>Inserta el porcentaje de ganancia estimada que buscas para este producto
======</t>
        </r>
      </text>
    </comment>
    <comment ref="F5" authorId="0" shapeId="0" xr:uid="{00000000-0006-0000-0000-000002000000}">
      <text>
        <r>
          <rPr>
            <sz val="11"/>
            <color theme="1"/>
            <rFont val="Calibri"/>
            <scheme val="minor"/>
          </rPr>
          <t>Indica para cuantas unidades rinde esta receta
======</t>
        </r>
      </text>
    </comment>
    <comment ref="N5" authorId="0" shapeId="0" xr:uid="{00000000-0006-0000-0000-000003000000}">
      <text>
        <r>
          <rPr>
            <sz val="11"/>
            <color theme="1"/>
            <rFont val="Calibri"/>
            <scheme val="minor"/>
          </rPr>
          <t>Inserta el salario que deseas obtener al mes por tu trabajo en la repostería
Usa tu moneda del pais donde vives
======</t>
        </r>
      </text>
    </comment>
    <comment ref="E8" authorId="0" shapeId="0" xr:uid="{00000000-0006-0000-0000-000004000000}">
      <text>
        <r>
          <rPr>
            <sz val="11"/>
            <color theme="1"/>
            <rFont val="Calibri"/>
            <scheme val="minor"/>
          </rPr>
          <t>Inserte el precio que usted paga por cada paquete, bolsa, docena, etc que compra de este ingrediente
Utilice la moneda del lugar donde vive
======</t>
        </r>
      </text>
    </comment>
    <comment ref="G8" authorId="0" shapeId="0" xr:uid="{00000000-0006-0000-0000-000005000000}">
      <text>
        <r>
          <rPr>
            <sz val="11"/>
            <color theme="1"/>
            <rFont val="Calibri"/>
            <scheme val="minor"/>
          </rPr>
          <t>Cantidad en gramos, mililitros, unidades que vienen en cada paquete. Por ejemplo: Azucar 1000, Huevos 12, Vainilla 50 mililitros
======</t>
        </r>
      </text>
    </comment>
    <comment ref="M8" authorId="0" shapeId="0" xr:uid="{00000000-0006-0000-0000-000006000000}">
      <text>
        <r>
          <rPr>
            <sz val="11"/>
            <color theme="1"/>
            <rFont val="Calibri"/>
            <scheme val="minor"/>
          </rPr>
          <t>Inserte cuantas semanas al mes desea trabajar en repostería
======</t>
        </r>
      </text>
    </comment>
    <comment ref="O8" authorId="0" shapeId="0" xr:uid="{00000000-0006-0000-0000-000007000000}">
      <text>
        <r>
          <rPr>
            <sz val="11"/>
            <color theme="1"/>
            <rFont val="Calibri"/>
            <scheme val="minor"/>
          </rPr>
          <t>Inserte cuantas horas al dia estaría trabajando en repostería
======</t>
        </r>
      </text>
    </comment>
    <comment ref="Q8" authorId="0" shapeId="0" xr:uid="{00000000-0006-0000-0000-000008000000}">
      <text>
        <r>
          <rPr>
            <sz val="11"/>
            <color theme="1"/>
            <rFont val="Calibri"/>
            <scheme val="minor"/>
          </rPr>
          <t>Inserte cuánto tiempo le toma producir esta receta.
Incluya todo el tiempo que necesita, desde el inicio al final de la preparación, el empaque, tiempo de entrega al cliente, etc
======</t>
        </r>
      </text>
    </comment>
    <comment ref="M11" authorId="0" shapeId="0" xr:uid="{00000000-0006-0000-0000-000009000000}">
      <text>
        <r>
          <rPr>
            <sz val="11"/>
            <color theme="1"/>
            <rFont val="Calibri"/>
            <scheme val="minor"/>
          </rPr>
          <t>Inserte los costos extra que requieres para elaborar este producto, incluyendo empaque y presentación, cintas, stikers, tarjetas de agradecimiento y demás elementos que incluyas para entregar al cliente final
======</t>
        </r>
      </text>
    </comment>
    <comment ref="M16" authorId="0" shapeId="0" xr:uid="{00000000-0006-0000-0000-00000A000000}">
      <text>
        <r>
          <rPr>
            <sz val="11"/>
            <color theme="1"/>
            <rFont val="Calibri"/>
            <scheme val="minor"/>
          </rPr>
          <t>Inserte los costos fijos mensuales como agua, electricidad, renta del local, etc
======</t>
        </r>
      </text>
    </comment>
    <comment ref="O16" authorId="0" shapeId="0" xr:uid="{00000000-0006-0000-0000-00000B000000}">
      <text>
        <r>
          <rPr>
            <sz val="11"/>
            <color theme="1"/>
            <rFont val="Calibri"/>
            <scheme val="minor"/>
          </rPr>
          <t>Inserte el costo de entrega de este pedido, aún si tu misma realizas la entrega
Si tu cliente recoge el pedido en tienda, deja este valor en 0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N4" authorId="0" shapeId="0" xr:uid="{CD494B99-9C76-48C1-864E-1CA0BF84CFF4}">
      <text>
        <r>
          <rPr>
            <sz val="11"/>
            <color theme="1"/>
            <rFont val="Calibri"/>
            <scheme val="minor"/>
          </rPr>
          <t>Inserta el porcentaje de ganancia estimada que buscas para este producto
======</t>
        </r>
      </text>
    </comment>
    <comment ref="F5" authorId="0" shapeId="0" xr:uid="{D68B11B4-56F7-4F3C-BEB8-F479CC8BCF2D}">
      <text>
        <r>
          <rPr>
            <sz val="11"/>
            <color theme="1"/>
            <rFont val="Calibri"/>
            <scheme val="minor"/>
          </rPr>
          <t>Indica para cuantas unidades rinde esta receta
======</t>
        </r>
      </text>
    </comment>
    <comment ref="N5" authorId="0" shapeId="0" xr:uid="{BE72D180-3CC4-4313-A8C7-6F1E4F87A2B9}">
      <text>
        <r>
          <rPr>
            <sz val="11"/>
            <color theme="1"/>
            <rFont val="Calibri"/>
            <scheme val="minor"/>
          </rPr>
          <t>Inserta el salario que deseas obtener al mes por tu trabajo en la repostería
Usa tu moneda del pais donde vives
======</t>
        </r>
      </text>
    </comment>
    <comment ref="E8" authorId="0" shapeId="0" xr:uid="{837EFB78-F078-4B6D-A7CE-506B197A2BBE}">
      <text>
        <r>
          <rPr>
            <sz val="11"/>
            <color theme="1"/>
            <rFont val="Calibri"/>
            <scheme val="minor"/>
          </rPr>
          <t>Inserte el precio que usted paga por cada paquete, bolsa, docena, etc que compra de este ingrediente
Utilice la moneda del lugar donde vive
======</t>
        </r>
      </text>
    </comment>
    <comment ref="G8" authorId="0" shapeId="0" xr:uid="{37597655-8EAE-4526-A9DE-380380C02783}">
      <text>
        <r>
          <rPr>
            <sz val="11"/>
            <color theme="1"/>
            <rFont val="Calibri"/>
            <scheme val="minor"/>
          </rPr>
          <t>Cantidad en gramos, mililitros, unidades que vienen en cada paquete. Por ejemplo: Azucar 1000, Huevos 12, Vainilla 50 mililitros
======</t>
        </r>
      </text>
    </comment>
    <comment ref="M8" authorId="0" shapeId="0" xr:uid="{A7E1C225-7C3D-4D2D-95DF-68032450120B}">
      <text>
        <r>
          <rPr>
            <sz val="11"/>
            <color theme="1"/>
            <rFont val="Calibri"/>
            <scheme val="minor"/>
          </rPr>
          <t>Inserte cuantas semanas al mes desea trabajar en repostería
======</t>
        </r>
      </text>
    </comment>
    <comment ref="O8" authorId="0" shapeId="0" xr:uid="{CBBA1E89-90A7-493B-97EE-0694FD3DAAC4}">
      <text>
        <r>
          <rPr>
            <sz val="11"/>
            <color theme="1"/>
            <rFont val="Calibri"/>
            <scheme val="minor"/>
          </rPr>
          <t>Inserte cuantas horas al dia estaría trabajando en repostería
======</t>
        </r>
      </text>
    </comment>
    <comment ref="Q8" authorId="0" shapeId="0" xr:uid="{900F28EE-95D0-499E-9505-E9B001469D2C}">
      <text>
        <r>
          <rPr>
            <sz val="11"/>
            <color theme="1"/>
            <rFont val="Calibri"/>
            <scheme val="minor"/>
          </rPr>
          <t>Inserte cuánto tiempo le toma producir esta receta.
Incluya todo el tiempo que necesita, desde el inicio al final de la preparación, el empaque, tiempo de entrega al cliente, etc
======</t>
        </r>
      </text>
    </comment>
    <comment ref="M11" authorId="0" shapeId="0" xr:uid="{B46D3141-B416-4C59-B5C0-A258FB6BA9AE}">
      <text>
        <r>
          <rPr>
            <sz val="11"/>
            <color theme="1"/>
            <rFont val="Calibri"/>
            <scheme val="minor"/>
          </rPr>
          <t>Inserte los costos extra que requieres para elaborar este producto, incluyendo empaque y presentación, cintas, stikers, tarjetas de agradecimiento y demás elementos que incluyas para entregar al cliente final
======</t>
        </r>
      </text>
    </comment>
    <comment ref="M16" authorId="0" shapeId="0" xr:uid="{A555C0D2-C26D-4343-B79F-ACE38A8B537D}">
      <text>
        <r>
          <rPr>
            <sz val="11"/>
            <color theme="1"/>
            <rFont val="Calibri"/>
            <scheme val="minor"/>
          </rPr>
          <t>Inserte los costos fijos mensuales como agua, electricidad, renta del local, etc
======</t>
        </r>
      </text>
    </comment>
    <comment ref="O16" authorId="0" shapeId="0" xr:uid="{01834F2A-1072-460C-B674-111A112B093F}">
      <text>
        <r>
          <rPr>
            <sz val="11"/>
            <color theme="1"/>
            <rFont val="Calibri"/>
            <scheme val="minor"/>
          </rPr>
          <t>Inserte el costo de entrega de este pedido, aún si tu misma realizas la entrega
Si tu cliente recoge el pedido en tienda, deja este valor en 0
======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<sst xmlns="http://schemas.openxmlformats.org/spreadsheetml/2006/main" count="86" uniqueCount="50">
  <si>
    <t xml:space="preserve">COSTOS DE PRODUCCION Y RENTABILIDAD
ZANAH REPOSTERIA </t>
  </si>
  <si>
    <t>PRODUCTO</t>
  </si>
  <si>
    <t>Cake Clásico de Zanahoria</t>
  </si>
  <si>
    <t>MARGEN DE GANANCIA DESEADA</t>
  </si>
  <si>
    <t>FECHA DE CÁLCULO</t>
  </si>
  <si>
    <t xml:space="preserve">META DE SALARIO/MES </t>
  </si>
  <si>
    <t>CALCULO DE COSTOS DEL PRODUCTO</t>
  </si>
  <si>
    <t>TEMPO DE PRODUCCION</t>
  </si>
  <si>
    <t>INGREDIENTES</t>
  </si>
  <si>
    <t>PRECIO</t>
  </si>
  <si>
    <t>CANTIDAD POR PAQUETE</t>
  </si>
  <si>
    <t>CANTIDAD USADA EN LA RECETA</t>
  </si>
  <si>
    <t>COSTO DE LA RECETA</t>
  </si>
  <si>
    <t># SEMANAS/MES</t>
  </si>
  <si>
    <t>HORAS DE TRABAJO/DIA</t>
  </si>
  <si>
    <t>TEMPO DE PROD.           RECETA (min)</t>
  </si>
  <si>
    <t>Zanahoria rallada fresca (gr)</t>
  </si>
  <si>
    <t>Harina de trigo todo uso (gr)</t>
  </si>
  <si>
    <t>Azúcar mascabado / panela (gr)</t>
  </si>
  <si>
    <t>COSTOS EXTRAS</t>
  </si>
  <si>
    <t>Aceite de girasol o maíz (ml)</t>
  </si>
  <si>
    <t>COSTO DEL EMPAQUE</t>
  </si>
  <si>
    <t>COSTO DE DECORACIONES</t>
  </si>
  <si>
    <t>COSTO DE EMBALAJE PARA ENVIO</t>
  </si>
  <si>
    <t>Extracto de vainilla (ml)</t>
  </si>
  <si>
    <t>Huevos L (unid)</t>
  </si>
  <si>
    <t>Levadura química (gr)</t>
  </si>
  <si>
    <t>Bicarbonato de sodio (gr)</t>
  </si>
  <si>
    <t>COSTOS FIJOS</t>
  </si>
  <si>
    <t>ENTREGA</t>
  </si>
  <si>
    <t>OTROS</t>
  </si>
  <si>
    <t>Canela molida (gr)</t>
  </si>
  <si>
    <t>Jengibre seco (gr)</t>
  </si>
  <si>
    <t>Nuez moscada (gr)</t>
  </si>
  <si>
    <t>Sal fina (gr)</t>
  </si>
  <si>
    <t>Queso crema entero (gr)</t>
  </si>
  <si>
    <t>Mantequilla sin sal (gr)</t>
  </si>
  <si>
    <t>Azúcar glass tamizada (gr)</t>
  </si>
  <si>
    <t>COSTO DE LOS INGREDIENTES</t>
  </si>
  <si>
    <t>COSTO FIJO / TIEMPO DE TRAB.</t>
  </si>
  <si>
    <t>HORAS TRABAJADAS AL MES</t>
  </si>
  <si>
    <t>COSTO DE SU TRABAJO POR RECETA</t>
  </si>
  <si>
    <t>VALOR DE VENTA DE LA RECEITA</t>
  </si>
  <si>
    <t>COSTO DE RECETA COMPLETA</t>
  </si>
  <si>
    <t>VALOR DE VENTA POR UNIDAD</t>
  </si>
  <si>
    <t>COSTO POR UNIDAD</t>
  </si>
  <si>
    <t>GANACIA POR RECETA</t>
  </si>
  <si>
    <t>Inserte los Valores que se indican en las celdas blancas!</t>
  </si>
  <si>
    <t>RENDIMENTO DE LA RECETA (Porciones)</t>
  </si>
  <si>
    <t>Estas celdas coloreadas contienen fórmulas! 
Ellas se calculan automaticamente. 
No necesita incluir valores!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</si>
</sst>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d/m/yyyy"/>
  </numFmts>
  <fonts count="19" x14ac:knownFonts="1">
    <font>
      <sz val="11"/>
      <color theme="1"/>
      <name val="Calibri"/>
      <scheme val="minor"/>
    </font>
    <font>
      <b/>
      <sz val="36"/>
      <color theme="1"/>
      <name val="Calibri"/>
    </font>
    <font>
      <b/>
      <sz val="12"/>
      <color theme="1"/>
      <name val="Calibri"/>
    </font>
    <font>
      <sz val="16"/>
      <color theme="1"/>
      <name val="Calibri"/>
    </font>
    <font>
      <sz val="11"/>
      <color theme="1"/>
      <name val="Calibri"/>
    </font>
    <font>
      <b/>
      <sz val="12"/>
      <color rgb="FFFDF6EC"/>
      <name val="DM Sans"/>
    </font>
    <font>
      <b/>
      <sz val="14"/>
      <color rgb="FFFDF6EC"/>
      <name val="DM Sans"/>
    </font>
    <font>
      <b/>
      <sz val="32"/>
      <color rgb="FFFDF6EC"/>
      <name val="Playfair Display"/>
    </font>
    <font>
      <b/>
      <sz val="16"/>
      <color rgb="FFF4B44A"/>
      <name val="Playfair Display"/>
    </font>
    <font>
      <b/>
      <sz val="14"/>
      <color theme="1"/>
      <name val="Calibri"/>
      <family val="2"/>
      <scheme val="minor"/>
    </font>
    <font>
      <b/>
      <sz val="14"/>
      <color rgb="FF1C0F08"/>
      <name val="DM Sans"/>
    </font>
    <font>
      <sz val="12"/>
      <color rgb="FF1C0F08"/>
      <name val="DM Sans"/>
    </font>
    <font>
      <sz val="12"/>
      <color theme="1"/>
      <name val="Calibri"/>
      <family val="2"/>
      <scheme val="minor"/>
    </font>
    <font>
      <i/>
      <sz val="12"/>
      <color rgb="FF1C0F08"/>
      <name val="DM Sans"/>
    </font>
    <font>
      <sz val="12"/>
      <name val="Calibri"/>
      <family val="2"/>
    </font>
    <font>
      <b/>
      <sz val="12"/>
      <color rgb="FFF4B44A"/>
      <name val="Playfair Display"/>
    </font>
    <font>
      <b/>
      <sz val="12"/>
      <color rgb="FF1C0F08"/>
      <name val="Playfair Display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5B0C"/>
      </patternFill>
    </fill>
    <fill>
      <patternFill patternType="solid">
        <fgColor rgb="FF1C0F08"/>
      </patternFill>
    </fill>
    <fill>
      <patternFill patternType="solid">
        <fgColor rgb="FFFDF6EC"/>
      </patternFill>
    </fill>
    <fill>
      <patternFill patternType="solid">
        <fgColor rgb="FFF4B44A"/>
      </patternFill>
    </fill>
    <fill>
      <patternFill patternType="solid">
        <fgColor rgb="FFE8882A"/>
      </patternFill>
    </fill>
    <fill>
      <patternFill patternType="solid">
        <fgColor theme="9" tint="-0.249977111117893"/>
        <bgColor indexed="64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C0F08"/>
      </left>
      <right style="medium">
        <color rgb="FF1C0F08"/>
      </right>
      <top style="medium">
        <color rgb="FF1C0F08"/>
      </top>
      <bottom/>
      <diagonal/>
    </border>
    <border>
      <left/>
      <right style="medium">
        <color rgb="FF1C0F08"/>
      </right>
      <top/>
      <bottom/>
      <diagonal/>
    </border>
    <border>
      <left style="medium">
        <color rgb="FF1C0F08"/>
      </left>
      <right style="thin">
        <color rgb="FF1C0F08"/>
      </right>
      <top style="medium">
        <color rgb="FF1C0F08"/>
      </top>
      <bottom style="medium">
        <color rgb="FF1C0F08"/>
      </bottom>
      <diagonal/>
    </border>
    <border>
      <left/>
      <right style="thin">
        <color rgb="FF1C0F08"/>
      </right>
      <top style="medium">
        <color rgb="FF1C0F08"/>
      </top>
      <bottom style="medium">
        <color rgb="FF1C0F08"/>
      </bottom>
      <diagonal/>
    </border>
    <border>
      <left style="thin">
        <color rgb="FF1C0F08"/>
      </left>
      <right/>
      <top style="medium">
        <color rgb="FF1C0F08"/>
      </top>
      <bottom style="medium">
        <color rgb="FF1C0F08"/>
      </bottom>
      <diagonal/>
    </border>
    <border>
      <left style="thin">
        <color rgb="FF1C0F08"/>
      </left>
      <right style="medium">
        <color rgb="FF1C0F08"/>
      </right>
      <top style="medium">
        <color rgb="FF1C0F08"/>
      </top>
      <bottom style="medium">
        <color rgb="FF1C0F08"/>
      </bottom>
      <diagonal/>
    </border>
    <border>
      <left/>
      <right style="medium">
        <color rgb="FF1C0F08"/>
      </right>
      <top style="medium">
        <color rgb="FF1C0F08"/>
      </top>
      <bottom style="medium">
        <color rgb="FF1C0F08"/>
      </bottom>
      <diagonal/>
    </border>
    <border>
      <left style="medium">
        <color rgb="FF1C0F08"/>
      </left>
      <right style="medium">
        <color rgb="FF1C0F08"/>
      </right>
      <top style="medium">
        <color rgb="FF1C0F08"/>
      </top>
      <bottom style="medium">
        <color rgb="FF1C0F08"/>
      </bottom>
      <diagonal/>
    </border>
    <border>
      <left style="medium">
        <color rgb="FF1C0F08"/>
      </left>
      <right style="thin">
        <color rgb="FF1C0F08"/>
      </right>
      <top/>
      <bottom style="medium">
        <color rgb="FF1C0F08"/>
      </bottom>
      <diagonal/>
    </border>
    <border>
      <left/>
      <right/>
      <top/>
      <bottom style="medium">
        <color rgb="FF1C0F08"/>
      </bottom>
      <diagonal/>
    </border>
    <border>
      <left/>
      <right style="thin">
        <color rgb="FF1C0F08"/>
      </right>
      <top/>
      <bottom style="medium">
        <color rgb="FF1C0F08"/>
      </bottom>
      <diagonal/>
    </border>
    <border>
      <left style="thin">
        <color rgb="FF1C0F08"/>
      </left>
      <right style="medium">
        <color rgb="FF1C0F08"/>
      </right>
      <top/>
      <bottom style="medium">
        <color rgb="FF1C0F08"/>
      </bottom>
      <diagonal/>
    </border>
    <border>
      <left/>
      <right style="medium">
        <color rgb="FF1C0F08"/>
      </right>
      <top/>
      <bottom style="medium">
        <color rgb="FF1C0F08"/>
      </bottom>
      <diagonal/>
    </border>
    <border>
      <left style="medium">
        <color rgb="FF1C0F08"/>
      </left>
      <right style="medium">
        <color rgb="FF1C0F08"/>
      </right>
      <top/>
      <bottom style="medium">
        <color rgb="FF1C0F08"/>
      </bottom>
      <diagonal/>
    </border>
    <border>
      <left style="thin">
        <color rgb="FF1C0F08"/>
      </left>
      <right style="thin">
        <color rgb="FF1C0F08"/>
      </right>
      <top style="medium">
        <color rgb="FF1C0F08"/>
      </top>
      <bottom style="medium">
        <color rgb="FF1C0F08"/>
      </bottom>
      <diagonal/>
    </border>
    <border>
      <left style="thin">
        <color rgb="FF1C0F08"/>
      </left>
      <right style="thin">
        <color rgb="FF1C0F08"/>
      </right>
      <top/>
      <bottom style="medium">
        <color rgb="FF1C0F08"/>
      </bottom>
      <diagonal/>
    </border>
    <border>
      <left style="medium">
        <color rgb="FF1C0F08"/>
      </left>
      <right style="thin">
        <color rgb="FF1C0F08"/>
      </right>
      <top/>
      <bottom style="thin">
        <color rgb="FF1C0F08"/>
      </bottom>
      <diagonal/>
    </border>
    <border>
      <left style="thin">
        <color rgb="FF1C0F08"/>
      </left>
      <right style="thin">
        <color rgb="FF1C0F08"/>
      </right>
      <top/>
      <bottom style="thin">
        <color rgb="FF1C0F08"/>
      </bottom>
      <diagonal/>
    </border>
    <border>
      <left style="thin">
        <color rgb="FF1C0F08"/>
      </left>
      <right style="medium">
        <color rgb="FF1C0F08"/>
      </right>
      <top/>
      <bottom style="thin">
        <color rgb="FF1C0F08"/>
      </bottom>
      <diagonal/>
    </border>
    <border>
      <left/>
      <right style="thin">
        <color rgb="FF1C0F08"/>
      </right>
      <top/>
      <bottom/>
      <diagonal/>
    </border>
    <border>
      <left style="medium">
        <color rgb="FF1C0F08"/>
      </left>
      <right style="thin">
        <color rgb="FF1C0F08"/>
      </right>
      <top style="thin">
        <color rgb="FF1C0F08"/>
      </top>
      <bottom style="thin">
        <color rgb="FF1C0F08"/>
      </bottom>
      <diagonal/>
    </border>
    <border>
      <left style="thin">
        <color rgb="FF1C0F08"/>
      </left>
      <right style="thin">
        <color rgb="FF1C0F08"/>
      </right>
      <top style="thin">
        <color rgb="FF1C0F08"/>
      </top>
      <bottom style="thin">
        <color rgb="FF1C0F08"/>
      </bottom>
      <diagonal/>
    </border>
    <border>
      <left style="thin">
        <color rgb="FF1C0F08"/>
      </left>
      <right style="medium">
        <color rgb="FF1C0F08"/>
      </right>
      <top style="thin">
        <color rgb="FF1C0F08"/>
      </top>
      <bottom style="thin">
        <color rgb="FF1C0F08"/>
      </bottom>
      <diagonal/>
    </border>
    <border>
      <left style="thin">
        <color rgb="FF1C0F08"/>
      </left>
      <right/>
      <top/>
      <bottom style="medium">
        <color rgb="FF1C0F08"/>
      </bottom>
      <diagonal/>
    </border>
    <border>
      <left style="thin">
        <color rgb="FF1C0F08"/>
      </left>
      <right style="thin">
        <color rgb="FF1C0F08"/>
      </right>
      <top/>
      <bottom/>
      <diagonal/>
    </border>
    <border>
      <left style="thin">
        <color rgb="FF1C0F08"/>
      </left>
      <right style="medium">
        <color rgb="FF1C0F08"/>
      </right>
      <top/>
      <bottom/>
      <diagonal/>
    </border>
    <border>
      <left style="thin">
        <color rgb="FF1C0F08"/>
      </left>
      <right/>
      <top/>
      <bottom/>
      <diagonal/>
    </border>
    <border>
      <left style="medium">
        <color rgb="FF1C0F08"/>
      </left>
      <right style="thin">
        <color rgb="FF1C0F08"/>
      </right>
      <top style="medium">
        <color rgb="FF1C0F08"/>
      </top>
      <bottom style="thin">
        <color rgb="FF1C0F08"/>
      </bottom>
      <diagonal/>
    </border>
    <border>
      <left style="thin">
        <color rgb="FF1C0F08"/>
      </left>
      <right style="thin">
        <color rgb="FF1C0F08"/>
      </right>
      <top style="medium">
        <color rgb="FF1C0F08"/>
      </top>
      <bottom style="thin">
        <color rgb="FF1C0F08"/>
      </bottom>
      <diagonal/>
    </border>
    <border>
      <left style="thin">
        <color rgb="FF1C0F08"/>
      </left>
      <right style="medium">
        <color rgb="FF1C0F08"/>
      </right>
      <top style="medium">
        <color rgb="FF1C0F08"/>
      </top>
      <bottom style="thin">
        <color rgb="FF1C0F08"/>
      </bottom>
      <diagonal/>
    </border>
    <border>
      <left/>
      <right style="thin">
        <color rgb="FF1C0F08"/>
      </right>
      <top style="thin">
        <color rgb="FF1C0F08"/>
      </top>
      <bottom/>
      <diagonal/>
    </border>
    <border>
      <left style="thin">
        <color rgb="FF1C0F08"/>
      </left>
      <right style="thin">
        <color rgb="FF1C0F08"/>
      </right>
      <top style="thin">
        <color rgb="FF1C0F08"/>
      </top>
      <bottom/>
      <diagonal/>
    </border>
    <border>
      <left style="medium">
        <color rgb="FF1C0F08"/>
      </left>
      <right style="thin">
        <color rgb="FF1C0F08"/>
      </right>
      <top style="thin">
        <color rgb="FF1C0F08"/>
      </top>
      <bottom style="medium">
        <color rgb="FF1C0F08"/>
      </bottom>
      <diagonal/>
    </border>
    <border>
      <left style="thin">
        <color rgb="FF1C0F08"/>
      </left>
      <right style="thin">
        <color rgb="FF1C0F08"/>
      </right>
      <top style="thin">
        <color rgb="FF1C0F08"/>
      </top>
      <bottom style="medium">
        <color rgb="FF1C0F08"/>
      </bottom>
      <diagonal/>
    </border>
    <border>
      <left style="thin">
        <color rgb="FF1C0F08"/>
      </left>
      <right style="medium">
        <color rgb="FF1C0F08"/>
      </right>
      <top style="thin">
        <color rgb="FF1C0F08"/>
      </top>
      <bottom style="medium">
        <color rgb="FF1C0F08"/>
      </bottom>
      <diagonal/>
    </border>
    <border>
      <left/>
      <right style="thin">
        <color rgb="FF1C0F08"/>
      </right>
      <top style="medium">
        <color rgb="FF1C0F08"/>
      </top>
      <bottom style="thin">
        <color rgb="FF1C0F08"/>
      </bottom>
      <diagonal/>
    </border>
    <border>
      <left style="thin">
        <color rgb="FF1C0F08"/>
      </left>
      <right/>
      <top style="medium">
        <color rgb="FF1C0F08"/>
      </top>
      <bottom style="thin">
        <color rgb="FF1C0F08"/>
      </bottom>
      <diagonal/>
    </border>
    <border>
      <left/>
      <right/>
      <top style="thin">
        <color rgb="FF1C0F08"/>
      </top>
      <bottom/>
      <diagonal/>
    </border>
    <border>
      <left/>
      <right style="thin">
        <color rgb="FF1C0F08"/>
      </right>
      <top style="thin">
        <color rgb="FF1C0F08"/>
      </top>
      <bottom/>
      <diagonal/>
    </border>
    <border>
      <left/>
      <right style="thin">
        <color rgb="FF1C0F08"/>
      </right>
      <top/>
      <bottom/>
      <diagonal/>
    </border>
    <border>
      <left/>
      <right/>
      <top/>
      <bottom style="medium">
        <color rgb="FF1C0F08"/>
      </bottom>
      <diagonal/>
    </border>
    <border>
      <left/>
      <right style="thin">
        <color rgb="FF1C0F08"/>
      </right>
      <top/>
      <bottom style="medium">
        <color rgb="FF1C0F08"/>
      </bottom>
      <diagonal/>
    </border>
    <border>
      <left/>
      <right/>
      <top style="thin">
        <color rgb="FF1C0F08"/>
      </top>
      <bottom style="thin">
        <color rgb="FF1C0F08"/>
      </bottom>
      <diagonal/>
    </border>
    <border>
      <left/>
      <right style="thin">
        <color rgb="FF1C0F08"/>
      </right>
      <top style="thin">
        <color rgb="FF1C0F08"/>
      </top>
      <bottom style="thin">
        <color rgb="FF1C0F08"/>
      </bottom>
      <diagonal/>
    </border>
    <border>
      <left/>
      <right/>
      <top style="thin">
        <color rgb="FF1C0F08"/>
      </top>
      <bottom style="medium">
        <color rgb="FF1C0F08"/>
      </bottom>
      <diagonal/>
    </border>
    <border>
      <left/>
      <right style="thin">
        <color rgb="FF1C0F08"/>
      </right>
      <top style="thin">
        <color rgb="FF1C0F08"/>
      </top>
      <bottom style="medium">
        <color rgb="FF1C0F08"/>
      </bottom>
      <diagonal/>
    </border>
    <border>
      <left/>
      <right style="medium">
        <color rgb="FF1C0F08"/>
      </right>
      <top style="thin">
        <color rgb="FF1C0F08"/>
      </top>
      <bottom style="medium">
        <color rgb="FF1C0F08"/>
      </bottom>
      <diagonal/>
    </border>
    <border>
      <left style="thin">
        <color rgb="FF1C0F08"/>
      </left>
      <right/>
      <top/>
      <bottom/>
      <diagonal/>
    </border>
    <border>
      <left/>
      <right style="medium">
        <color rgb="FF1C0F08"/>
      </right>
      <top/>
      <bottom/>
      <diagonal/>
    </border>
    <border>
      <left/>
      <right/>
      <top style="medium">
        <color rgb="FF1C0F08"/>
      </top>
      <bottom/>
      <diagonal/>
    </border>
    <border>
      <left/>
      <right style="thin">
        <color rgb="FF1C0F08"/>
      </right>
      <top style="medium">
        <color rgb="FF1C0F08"/>
      </top>
      <bottom/>
      <diagonal/>
    </border>
    <border>
      <left/>
      <right/>
      <top style="medium">
        <color rgb="FF1C0F08"/>
      </top>
      <bottom style="thin">
        <color rgb="FF1C0F08"/>
      </bottom>
      <diagonal/>
    </border>
    <border>
      <left/>
      <right style="thin">
        <color rgb="FF1C0F08"/>
      </right>
      <top style="medium">
        <color rgb="FF1C0F08"/>
      </top>
      <bottom style="thin">
        <color rgb="FF1C0F08"/>
      </bottom>
      <diagonal/>
    </border>
    <border>
      <left/>
      <right style="medium">
        <color rgb="FF1C0F08"/>
      </right>
      <top style="medium">
        <color rgb="FF1C0F08"/>
      </top>
      <bottom/>
      <diagonal/>
    </border>
    <border>
      <left/>
      <right style="medium">
        <color rgb="FF1C0F08"/>
      </right>
      <top style="medium">
        <color rgb="FF1C0F08"/>
      </top>
      <bottom style="medium">
        <color rgb="FF1C0F08"/>
      </bottom>
      <diagonal/>
    </border>
    <border>
      <left/>
      <right style="medium">
        <color rgb="FF1C0F08"/>
      </right>
      <top style="medium">
        <color rgb="FF1C0F08"/>
      </top>
      <bottom style="thin">
        <color rgb="FF1C0F08"/>
      </bottom>
      <diagonal/>
    </border>
    <border>
      <left/>
      <right/>
      <top style="medium">
        <color rgb="FF1C0F08"/>
      </top>
      <bottom style="medium">
        <color rgb="FF1C0F08"/>
      </bottom>
      <diagonal/>
    </border>
    <border>
      <left/>
      <right style="medium">
        <color rgb="FF1C0F08"/>
      </right>
      <top/>
      <bottom style="medium">
        <color rgb="FF1C0F08"/>
      </bottom>
      <diagonal/>
    </border>
    <border>
      <left/>
      <right style="thin">
        <color rgb="FF1C0F08"/>
      </right>
      <top style="medium">
        <color rgb="FF1C0F08"/>
      </top>
      <bottom style="medium">
        <color rgb="FF1C0F08"/>
      </bottom>
      <diagonal/>
    </border>
    <border>
      <left style="thin">
        <color rgb="FF1C0F08"/>
      </left>
      <right/>
      <top/>
      <bottom style="thin">
        <color rgb="FF1C0F08"/>
      </bottom>
      <diagonal/>
    </border>
    <border>
      <left/>
      <right style="medium">
        <color rgb="FF1C0F08"/>
      </right>
      <top/>
      <bottom style="thin">
        <color rgb="FF1C0F08"/>
      </bottom>
      <diagonal/>
    </border>
    <border>
      <left/>
      <right style="medium">
        <color rgb="FF1C0F08"/>
      </right>
      <top style="thin">
        <color rgb="FF1C0F08"/>
      </top>
      <bottom style="thin">
        <color rgb="FF1C0F08"/>
      </bottom>
      <diagonal/>
    </border>
    <border>
      <left style="medium">
        <color rgb="FF1C0F08"/>
      </left>
      <right/>
      <top/>
      <bottom/>
      <diagonal/>
    </border>
    <border>
      <left style="medium">
        <color rgb="FF1C0F08"/>
      </left>
      <right/>
      <top/>
      <bottom style="medium">
        <color rgb="FF1C0F08"/>
      </bottom>
      <diagonal/>
    </border>
    <border>
      <left/>
      <right/>
      <top/>
      <bottom style="thin">
        <color rgb="FF1C0F08"/>
      </bottom>
      <diagonal/>
    </border>
    <border>
      <left/>
      <right style="thin">
        <color rgb="FF1C0F08"/>
      </right>
      <top/>
      <bottom style="thin">
        <color rgb="FF1C0F08"/>
      </bottom>
      <diagonal/>
    </border>
    <border>
      <left style="thin">
        <color rgb="FF1C0F08"/>
      </left>
      <right/>
      <top/>
      <bottom style="medium">
        <color rgb="FF1C0F08"/>
      </bottom>
      <diagonal/>
    </border>
    <border>
      <left style="medium">
        <color rgb="FF1C0F08"/>
      </left>
      <right/>
      <top/>
      <bottom style="thin">
        <color rgb="FF1C0F08"/>
      </bottom>
      <diagonal/>
    </border>
    <border>
      <left style="medium">
        <color rgb="FF1C0F08"/>
      </left>
      <right/>
      <top style="medium">
        <color rgb="FF1C0F08"/>
      </top>
      <bottom/>
      <diagonal/>
    </border>
  </borders>
  <cellStyleXfs count="1">
    <xf numFmtId="0" fontId="0" fillId="0" borderId="1"/>
  </cellStyleXfs>
  <cellXfs count="132">
    <xf numFmtId="0" fontId="0" fillId="0" borderId="0" xfId="0" applyBorder="1"/>
    <xf numFmtId="0" fontId="0" fillId="0" borderId="2" xfId="0" applyBorder="1"/>
    <xf numFmtId="0" fontId="1" fillId="0" borderId="2" xfId="0" applyFont="1" applyBorder="1"/>
    <xf numFmtId="0" fontId="2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4" fontId="11" fillId="4" borderId="2" xfId="0" applyNumberFormat="1" applyFont="1" applyFill="1" applyBorder="1" applyAlignment="1">
      <alignment horizontal="center" vertical="center"/>
    </xf>
    <xf numFmtId="0" fontId="14" fillId="0" borderId="22" xfId="0" applyFont="1" applyBorder="1"/>
    <xf numFmtId="4" fontId="11" fillId="4" borderId="29" xfId="0" applyNumberFormat="1" applyFont="1" applyFill="1" applyBorder="1" applyAlignment="1">
      <alignment horizontal="center" vertical="center"/>
    </xf>
    <xf numFmtId="0" fontId="14" fillId="0" borderId="4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26" xfId="0" applyFont="1" applyBorder="1"/>
    <xf numFmtId="0" fontId="14" fillId="0" borderId="15" xfId="0" applyFont="1" applyBorder="1"/>
    <xf numFmtId="0" fontId="12" fillId="0" borderId="2" xfId="0" applyFont="1" applyBorder="1"/>
    <xf numFmtId="0" fontId="11" fillId="4" borderId="10" xfId="0" applyFont="1" applyFill="1" applyBorder="1" applyAlignment="1">
      <alignment horizontal="center" vertical="center" wrapText="1"/>
    </xf>
    <xf numFmtId="0" fontId="12" fillId="0" borderId="52" xfId="0" applyFont="1" applyBorder="1"/>
    <xf numFmtId="0" fontId="12" fillId="0" borderId="56" xfId="0" applyFont="1" applyBorder="1"/>
    <xf numFmtId="0" fontId="12" fillId="0" borderId="66" xfId="0" applyFont="1" applyBorder="1"/>
    <xf numFmtId="0" fontId="12" fillId="0" borderId="43" xfId="0" applyFont="1" applyBorder="1"/>
    <xf numFmtId="0" fontId="12" fillId="0" borderId="60" xfId="0" applyFont="1" applyBorder="1"/>
    <xf numFmtId="4" fontId="11" fillId="4" borderId="24" xfId="0" applyNumberFormat="1" applyFont="1" applyFill="1" applyBorder="1" applyAlignment="1">
      <alignment horizontal="center" vertical="center"/>
    </xf>
    <xf numFmtId="0" fontId="12" fillId="0" borderId="46" xfId="0" applyFont="1" applyBorder="1"/>
    <xf numFmtId="4" fontId="11" fillId="4" borderId="31" xfId="0" applyNumberFormat="1" applyFont="1" applyFill="1" applyBorder="1" applyAlignment="1">
      <alignment horizontal="center" vertical="center"/>
    </xf>
    <xf numFmtId="0" fontId="12" fillId="0" borderId="53" xfId="0" applyFont="1" applyBorder="1"/>
    <xf numFmtId="0" fontId="12" fillId="0" borderId="62" xfId="0" applyFont="1" applyBorder="1"/>
    <xf numFmtId="0" fontId="12" fillId="0" borderId="68" xfId="0" applyFont="1" applyBorder="1"/>
    <xf numFmtId="0" fontId="11" fillId="4" borderId="24" xfId="0" applyFont="1" applyFill="1" applyBorder="1" applyAlignment="1">
      <alignment horizontal="center" vertical="center"/>
    </xf>
    <xf numFmtId="4" fontId="13" fillId="5" borderId="25" xfId="0" applyNumberFormat="1" applyFont="1" applyFill="1" applyBorder="1" applyAlignment="1">
      <alignment horizontal="center"/>
    </xf>
    <xf numFmtId="0" fontId="12" fillId="0" borderId="64" xfId="0" applyFont="1" applyBorder="1"/>
    <xf numFmtId="0" fontId="11" fillId="4" borderId="23" xfId="0" applyFont="1" applyFill="1" applyBorder="1" applyAlignment="1">
      <alignment horizontal="left" vertical="center"/>
    </xf>
    <xf numFmtId="0" fontId="12" fillId="0" borderId="45" xfId="0" applyFont="1" applyBorder="1"/>
    <xf numFmtId="4" fontId="13" fillId="5" borderId="32" xfId="0" applyNumberFormat="1" applyFont="1" applyFill="1" applyBorder="1" applyAlignment="1">
      <alignment horizontal="center"/>
    </xf>
    <xf numFmtId="0" fontId="12" fillId="0" borderId="58" xfId="0" applyFont="1" applyBorder="1"/>
    <xf numFmtId="0" fontId="12" fillId="0" borderId="65" xfId="0" applyFont="1" applyBorder="1"/>
    <xf numFmtId="0" fontId="12" fillId="0" borderId="0" xfId="0" applyFont="1" applyBorder="1"/>
    <xf numFmtId="0" fontId="12" fillId="0" borderId="51" xfId="0" applyFont="1" applyBorder="1"/>
    <xf numFmtId="4" fontId="11" fillId="4" borderId="22" xfId="0" applyNumberFormat="1" applyFont="1" applyFill="1" applyBorder="1" applyAlignment="1">
      <alignment horizontal="center" vertical="center"/>
    </xf>
    <xf numFmtId="0" fontId="12" fillId="0" borderId="42" xfId="0" applyFont="1" applyBorder="1"/>
    <xf numFmtId="4" fontId="13" fillId="5" borderId="39" xfId="0" applyNumberFormat="1" applyFont="1" applyFill="1" applyBorder="1" applyAlignment="1">
      <alignment horizontal="center"/>
    </xf>
    <xf numFmtId="0" fontId="12" fillId="0" borderId="54" xfId="0" applyFont="1" applyBorder="1"/>
    <xf numFmtId="0" fontId="5" fillId="2" borderId="38" xfId="0" applyFont="1" applyFill="1" applyBorder="1" applyAlignment="1">
      <alignment horizontal="left"/>
    </xf>
    <xf numFmtId="0" fontId="12" fillId="0" borderId="55" xfId="0" applyFont="1" applyBorder="1"/>
    <xf numFmtId="4" fontId="11" fillId="4" borderId="34" xfId="0" applyNumberFormat="1" applyFont="1" applyFill="1" applyBorder="1" applyAlignment="1">
      <alignment horizontal="center" vertical="center"/>
    </xf>
    <xf numFmtId="0" fontId="12" fillId="0" borderId="41" xfId="0" applyFont="1" applyBorder="1"/>
    <xf numFmtId="4" fontId="13" fillId="5" borderId="3" xfId="0" applyNumberFormat="1" applyFont="1" applyFill="1" applyBorder="1" applyAlignment="1">
      <alignment horizontal="center"/>
    </xf>
    <xf numFmtId="164" fontId="11" fillId="4" borderId="18" xfId="0" applyNumberFormat="1" applyFont="1" applyFill="1" applyBorder="1" applyAlignment="1">
      <alignment horizontal="center" vertical="center"/>
    </xf>
    <xf numFmtId="0" fontId="12" fillId="0" borderId="69" xfId="0" applyFont="1" applyBorder="1"/>
    <xf numFmtId="0" fontId="12" fillId="0" borderId="44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0" fillId="0" borderId="61" xfId="0" applyBorder="1"/>
    <xf numFmtId="0" fontId="11" fillId="4" borderId="35" xfId="0" applyFont="1" applyFill="1" applyBorder="1" applyAlignment="1">
      <alignment horizontal="left" vertical="center"/>
    </xf>
    <xf numFmtId="0" fontId="12" fillId="0" borderId="47" xfId="0" applyFont="1" applyBorder="1"/>
    <xf numFmtId="0" fontId="12" fillId="0" borderId="48" xfId="0" applyFont="1" applyBorder="1"/>
    <xf numFmtId="0" fontId="8" fillId="3" borderId="10" xfId="0" applyFont="1" applyFill="1" applyBorder="1" applyAlignment="1">
      <alignment horizontal="center" vertical="center"/>
    </xf>
    <xf numFmtId="0" fontId="0" fillId="0" borderId="59" xfId="0" applyBorder="1"/>
    <xf numFmtId="0" fontId="0" fillId="0" borderId="57" xfId="0" applyBorder="1"/>
    <xf numFmtId="0" fontId="11" fillId="4" borderId="3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9" fillId="0" borderId="59" xfId="0" applyFont="1" applyBorder="1" applyAlignment="1">
      <alignment horizontal="left"/>
    </xf>
    <xf numFmtId="0" fontId="9" fillId="0" borderId="61" xfId="0" applyFont="1" applyBorder="1" applyAlignment="1">
      <alignment horizontal="left"/>
    </xf>
    <xf numFmtId="164" fontId="11" fillId="4" borderId="13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/>
    </xf>
    <xf numFmtId="0" fontId="12" fillId="0" borderId="59" xfId="0" applyFont="1" applyBorder="1"/>
    <xf numFmtId="0" fontId="12" fillId="0" borderId="57" xfId="0" applyFont="1" applyBorder="1"/>
    <xf numFmtId="4" fontId="11" fillId="4" borderId="20" xfId="0" applyNumberFormat="1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 wrapText="1"/>
    </xf>
    <xf numFmtId="0" fontId="7" fillId="3" borderId="65" xfId="0" applyFont="1" applyFill="1" applyBorder="1" applyAlignment="1">
      <alignment horizontal="center" vertical="center" wrapText="1"/>
    </xf>
    <xf numFmtId="0" fontId="7" fillId="3" borderId="66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165" fontId="10" fillId="4" borderId="16" xfId="0" applyNumberFormat="1" applyFont="1" applyFill="1" applyBorder="1" applyAlignment="1">
      <alignment horizontal="left" vertical="center"/>
    </xf>
    <xf numFmtId="0" fontId="9" fillId="0" borderId="43" xfId="0" applyFont="1" applyBorder="1" applyAlignment="1">
      <alignment horizontal="left"/>
    </xf>
    <xf numFmtId="0" fontId="9" fillId="0" borderId="60" xfId="0" applyFont="1" applyBorder="1" applyAlignment="1">
      <alignment horizontal="left"/>
    </xf>
    <xf numFmtId="0" fontId="6" fillId="2" borderId="11" xfId="0" applyFont="1" applyFill="1" applyBorder="1" applyAlignment="1">
      <alignment horizontal="left" vertical="center"/>
    </xf>
    <xf numFmtId="0" fontId="9" fillId="0" borderId="44" xfId="0" applyFont="1" applyBorder="1" applyAlignment="1">
      <alignment horizontal="left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0" borderId="44" xfId="0" applyBorder="1"/>
    <xf numFmtId="0" fontId="5" fillId="2" borderId="18" xfId="0" applyFont="1" applyFill="1" applyBorder="1" applyAlignment="1">
      <alignment horizontal="center" vertical="center" wrapText="1"/>
    </xf>
    <xf numFmtId="4" fontId="11" fillId="4" borderId="30" xfId="0" applyNumberFormat="1" applyFont="1" applyFill="1" applyBorder="1" applyAlignment="1">
      <alignment horizontal="center" vertical="center"/>
    </xf>
    <xf numFmtId="0" fontId="12" fillId="0" borderId="70" xfId="0" applyFont="1" applyBorder="1"/>
    <xf numFmtId="9" fontId="10" fillId="4" borderId="8" xfId="0" applyNumberFormat="1" applyFont="1" applyFill="1" applyBorder="1" applyAlignment="1">
      <alignment horizontal="left" vertical="center"/>
    </xf>
    <xf numFmtId="0" fontId="9" fillId="0" borderId="57" xfId="0" applyFont="1" applyBorder="1" applyAlignment="1">
      <alignment horizontal="left"/>
    </xf>
    <xf numFmtId="2" fontId="17" fillId="7" borderId="16" xfId="0" applyNumberFormat="1" applyFont="1" applyFill="1" applyBorder="1" applyAlignment="1">
      <alignment horizontal="center"/>
    </xf>
    <xf numFmtId="0" fontId="12" fillId="7" borderId="51" xfId="0" applyFont="1" applyFill="1" applyBorder="1"/>
    <xf numFmtId="0" fontId="12" fillId="7" borderId="66" xfId="0" applyFont="1" applyFill="1" applyBorder="1"/>
    <xf numFmtId="0" fontId="12" fillId="7" borderId="60" xfId="0" applyFont="1" applyFill="1" applyBorder="1"/>
    <xf numFmtId="0" fontId="10" fillId="4" borderId="8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2" fillId="0" borderId="67" xfId="0" applyFont="1" applyBorder="1"/>
    <xf numFmtId="0" fontId="18" fillId="0" borderId="10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left"/>
    </xf>
    <xf numFmtId="0" fontId="11" fillId="4" borderId="36" xfId="0" applyFont="1" applyFill="1" applyBorder="1" applyAlignment="1">
      <alignment horizontal="center" vertical="center"/>
    </xf>
    <xf numFmtId="4" fontId="11" fillId="4" borderId="27" xfId="0" applyNumberFormat="1" applyFont="1" applyFill="1" applyBorder="1" applyAlignment="1">
      <alignment horizontal="center" vertical="center"/>
    </xf>
    <xf numFmtId="0" fontId="12" fillId="0" borderId="50" xfId="0" applyFont="1" applyBorder="1"/>
    <xf numFmtId="4" fontId="16" fillId="6" borderId="32" xfId="0" applyNumberFormat="1" applyFont="1" applyFill="1" applyBorder="1" applyAlignment="1">
      <alignment horizontal="center"/>
    </xf>
    <xf numFmtId="4" fontId="13" fillId="5" borderId="21" xfId="0" applyNumberFormat="1" applyFont="1" applyFill="1" applyBorder="1" applyAlignment="1">
      <alignment horizontal="center"/>
    </xf>
    <xf numFmtId="0" fontId="12" fillId="0" borderId="63" xfId="0" applyFont="1" applyBorder="1"/>
    <xf numFmtId="0" fontId="6" fillId="2" borderId="1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 wrapText="1"/>
    </xf>
    <xf numFmtId="0" fontId="0" fillId="0" borderId="60" xfId="0" applyBorder="1"/>
    <xf numFmtId="0" fontId="5" fillId="2" borderId="6" xfId="0" applyFont="1" applyFill="1" applyBorder="1" applyAlignment="1">
      <alignment horizontal="center" vertical="center"/>
    </xf>
    <xf numFmtId="0" fontId="12" fillId="0" borderId="61" xfId="0" applyFont="1" applyBorder="1"/>
    <xf numFmtId="0" fontId="5" fillId="2" borderId="1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" fontId="11" fillId="4" borderId="32" xfId="0" applyNumberFormat="1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left"/>
    </xf>
    <xf numFmtId="4" fontId="13" fillId="5" borderId="37" xfId="0" applyNumberFormat="1" applyFont="1" applyFill="1" applyBorder="1" applyAlignment="1">
      <alignment horizontal="center"/>
    </xf>
    <xf numFmtId="0" fontId="12" fillId="0" borderId="49" xfId="0" applyFont="1" applyBorder="1"/>
    <xf numFmtId="4" fontId="11" fillId="4" borderId="28" xfId="0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left"/>
    </xf>
    <xf numFmtId="0" fontId="12" fillId="0" borderId="40" xfId="0" applyFont="1" applyBorder="1"/>
    <xf numFmtId="0" fontId="15" fillId="3" borderId="23" xfId="0" applyFont="1" applyFill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0" fillId="0" borderId="52" xfId="0" applyBorder="1"/>
    <xf numFmtId="0" fontId="0" fillId="0" borderId="56" xfId="0" applyBorder="1"/>
    <xf numFmtId="0" fontId="0" fillId="0" borderId="65" xfId="0" applyBorder="1"/>
    <xf numFmtId="0" fontId="0" fillId="0" borderId="0" xfId="0" applyBorder="1"/>
    <xf numFmtId="0" fontId="0" fillId="0" borderId="51" xfId="0" applyBorder="1"/>
    <xf numFmtId="0" fontId="0" fillId="0" borderId="66" xfId="0" applyBorder="1"/>
    <xf numFmtId="0" fontId="0" fillId="0" borderId="43" xfId="0" applyBorder="1"/>
    <xf numFmtId="4" fontId="11" fillId="4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14</xdr:row>
      <xdr:rowOff>60960</xdr:rowOff>
    </xdr:from>
    <xdr:to>
      <xdr:col>15</xdr:col>
      <xdr:colOff>502920</xdr:colOff>
      <xdr:row>18</xdr:row>
      <xdr:rowOff>22860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4110F40-B4EF-E555-EACE-96EEB79B3D21}"/>
            </a:ext>
          </a:extLst>
        </xdr:cNvPr>
        <xdr:cNvSpPr txBox="1"/>
      </xdr:nvSpPr>
      <xdr:spPr>
        <a:xfrm rot="19378453">
          <a:off x="1935480" y="4587240"/>
          <a:ext cx="7475220" cy="93726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s-CO" sz="4800">
              <a:solidFill>
                <a:schemeClr val="dk1">
                  <a:alpha val="20000"/>
                </a:schemeClr>
              </a:solidFill>
            </a:rPr>
            <a:t>www. zanahreposteria.store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1188721</xdr:colOff>
      <xdr:row>15</xdr:row>
      <xdr:rowOff>38100</xdr:rowOff>
    </xdr:from>
    <xdr:to>
      <xdr:col>14</xdr:col>
      <xdr:colOff>396241</xdr:colOff>
      <xdr:row>19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2B118F5-6C8E-4F7B-8165-29B833DDAC88}"/>
            </a:ext>
          </a:extLst>
        </xdr:cNvPr>
        <xdr:cNvSpPr txBox="1"/>
      </xdr:nvSpPr>
      <xdr:spPr>
        <a:xfrm rot="19378453">
          <a:off x="1234441" y="4808220"/>
          <a:ext cx="7475220" cy="93726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s-CO" sz="4800">
              <a:solidFill>
                <a:schemeClr val="dk1">
                  <a:alpha val="20000"/>
                </a:schemeClr>
              </a:solidFill>
            </a:rPr>
            <a:t>www. zanahreposteria.store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opLeftCell="A5" workbookViewId="0">
      <selection activeCell="R23" sqref="R23"/>
    </sheetView>
  </sheetViews>
  <sheetFormatPr baseColWidth="10" defaultColWidth="14.44140625" defaultRowHeight="15" customHeight="1" x14ac:dyDescent="0.3"/>
  <cols>
    <col min="1" max="1" width="0.6640625" customWidth="1"/>
    <col min="2" max="2" width="17.88671875" customWidth="1"/>
    <col min="3" max="3" width="8.6640625" customWidth="1"/>
    <col min="4" max="4" width="14.6640625" customWidth="1"/>
    <col min="5" max="6" width="8.6640625" customWidth="1"/>
    <col min="7" max="8" width="8.109375" customWidth="1"/>
    <col min="9" max="10" width="7.44140625" customWidth="1"/>
    <col min="11" max="12" width="7.109375" customWidth="1"/>
    <col min="13" max="14" width="8.33203125" customWidth="1"/>
    <col min="15" max="15" width="8.6640625" customWidth="1"/>
    <col min="16" max="16" width="11.88671875" customWidth="1"/>
    <col min="17" max="17" width="8.6640625" customWidth="1"/>
    <col min="18" max="18" width="16.77734375" customWidth="1"/>
    <col min="19" max="27" width="8.6640625" customWidth="1"/>
  </cols>
  <sheetData>
    <row r="1" spans="1:23" ht="15" customHeight="1" x14ac:dyDescent="0.85">
      <c r="A1" s="1"/>
      <c r="B1" s="69" t="e" vm="1">
        <v>#VALUE!</v>
      </c>
      <c r="C1" s="72" t="s">
        <v>0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3"/>
      <c r="S1" s="2"/>
      <c r="T1" s="3"/>
      <c r="U1" s="3"/>
      <c r="V1" s="3"/>
      <c r="W1" s="3"/>
    </row>
    <row r="2" spans="1:23" ht="38.4" customHeight="1" x14ac:dyDescent="0.85">
      <c r="A2" s="1"/>
      <c r="B2" s="70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2"/>
      <c r="T2" s="3"/>
      <c r="U2" s="3"/>
      <c r="V2" s="3"/>
      <c r="W2" s="3"/>
    </row>
    <row r="3" spans="1:23" ht="60.75" customHeight="1" thickBot="1" x14ac:dyDescent="0.9">
      <c r="A3" s="1"/>
      <c r="B3" s="71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7"/>
      <c r="S3" s="2"/>
      <c r="T3" s="3"/>
      <c r="U3" s="3"/>
      <c r="V3" s="3"/>
      <c r="W3" s="3"/>
    </row>
    <row r="4" spans="1:23" ht="24" customHeight="1" thickBot="1" x14ac:dyDescent="0.4">
      <c r="A4" s="1"/>
      <c r="B4" s="59" t="s">
        <v>1</v>
      </c>
      <c r="C4" s="61"/>
      <c r="D4" s="63" t="s">
        <v>2</v>
      </c>
      <c r="E4" s="60"/>
      <c r="F4" s="60"/>
      <c r="G4" s="60"/>
      <c r="H4" s="59" t="s">
        <v>3</v>
      </c>
      <c r="I4" s="60"/>
      <c r="J4" s="60"/>
      <c r="K4" s="60"/>
      <c r="L4" s="60"/>
      <c r="M4" s="61"/>
      <c r="N4" s="89">
        <v>0.7</v>
      </c>
      <c r="O4" s="90"/>
      <c r="P4" s="107" t="s">
        <v>4</v>
      </c>
      <c r="Q4" s="60"/>
      <c r="R4" s="90"/>
      <c r="S4" s="4"/>
      <c r="T4" s="3"/>
      <c r="U4" s="3"/>
      <c r="V4" s="3"/>
      <c r="W4" s="3"/>
    </row>
    <row r="5" spans="1:23" ht="24" customHeight="1" thickBot="1" x14ac:dyDescent="0.4">
      <c r="A5" s="1"/>
      <c r="B5" s="81" t="s">
        <v>48</v>
      </c>
      <c r="C5" s="79"/>
      <c r="D5" s="79"/>
      <c r="E5" s="82"/>
      <c r="F5" s="95">
        <v>10</v>
      </c>
      <c r="G5" s="90"/>
      <c r="H5" s="59" t="s">
        <v>5</v>
      </c>
      <c r="I5" s="60"/>
      <c r="J5" s="60"/>
      <c r="K5" s="60"/>
      <c r="L5" s="60"/>
      <c r="M5" s="61"/>
      <c r="N5" s="89">
        <v>300</v>
      </c>
      <c r="O5" s="90"/>
      <c r="P5" s="78">
        <v>46203</v>
      </c>
      <c r="Q5" s="79"/>
      <c r="R5" s="80"/>
      <c r="S5" s="4"/>
      <c r="T5" s="3"/>
      <c r="U5" s="3"/>
      <c r="V5" s="3"/>
      <c r="W5" s="3"/>
    </row>
    <row r="6" spans="1:23" ht="7.5" customHeight="1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1"/>
    </row>
    <row r="7" spans="1:23" ht="24" customHeight="1" x14ac:dyDescent="0.4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/>
      <c r="L7" s="57"/>
      <c r="M7" s="55" t="s">
        <v>7</v>
      </c>
      <c r="N7" s="56"/>
      <c r="O7" s="56"/>
      <c r="P7" s="56"/>
      <c r="Q7" s="56"/>
      <c r="R7" s="57"/>
      <c r="S7" s="6"/>
      <c r="T7" s="1"/>
      <c r="U7" s="1"/>
      <c r="V7" s="1"/>
      <c r="W7" s="1"/>
    </row>
    <row r="8" spans="1:23" ht="48" customHeight="1" x14ac:dyDescent="0.3">
      <c r="A8" s="1"/>
      <c r="B8" s="99" t="s">
        <v>8</v>
      </c>
      <c r="C8" s="56"/>
      <c r="D8" s="51"/>
      <c r="E8" s="50" t="s">
        <v>9</v>
      </c>
      <c r="F8" s="51"/>
      <c r="G8" s="50" t="s">
        <v>10</v>
      </c>
      <c r="H8" s="51"/>
      <c r="I8" s="50" t="s">
        <v>11</v>
      </c>
      <c r="J8" s="51"/>
      <c r="K8" s="83" t="s">
        <v>12</v>
      </c>
      <c r="L8" s="57"/>
      <c r="M8" s="84" t="s">
        <v>13</v>
      </c>
      <c r="N8" s="85"/>
      <c r="O8" s="86" t="s">
        <v>14</v>
      </c>
      <c r="P8" s="85"/>
      <c r="Q8" s="108" t="s">
        <v>15</v>
      </c>
      <c r="R8" s="109"/>
      <c r="S8" s="3"/>
      <c r="T8" s="1"/>
      <c r="U8" s="1"/>
      <c r="V8" s="1"/>
      <c r="W8" s="1"/>
    </row>
    <row r="9" spans="1:23" ht="19.5" customHeight="1" x14ac:dyDescent="0.35">
      <c r="A9" s="1"/>
      <c r="B9" s="96" t="s">
        <v>16</v>
      </c>
      <c r="C9" s="97"/>
      <c r="D9" s="27"/>
      <c r="E9" s="67">
        <v>0.8</v>
      </c>
      <c r="F9" s="27"/>
      <c r="G9" s="68">
        <v>1000</v>
      </c>
      <c r="H9" s="27"/>
      <c r="I9" s="68">
        <v>250</v>
      </c>
      <c r="J9" s="27"/>
      <c r="K9" s="105">
        <f t="shared" ref="K9:K23" si="0">IF(E9&lt;&gt;"",I9/G9*E9)</f>
        <v>0.2</v>
      </c>
      <c r="L9" s="106"/>
      <c r="M9" s="62">
        <v>4</v>
      </c>
      <c r="N9" s="39"/>
      <c r="O9" s="47">
        <v>8</v>
      </c>
      <c r="P9" s="39"/>
      <c r="Q9" s="119">
        <v>120</v>
      </c>
      <c r="R9" s="37"/>
      <c r="S9" s="4"/>
      <c r="T9" s="1"/>
      <c r="U9" s="1"/>
      <c r="V9" s="1"/>
      <c r="W9" s="1"/>
    </row>
    <row r="10" spans="1:23" ht="19.5" customHeight="1" x14ac:dyDescent="0.35">
      <c r="A10" s="1"/>
      <c r="B10" s="31" t="s">
        <v>17</v>
      </c>
      <c r="C10" s="32"/>
      <c r="D10" s="23"/>
      <c r="E10" s="22">
        <v>1.2</v>
      </c>
      <c r="F10" s="23"/>
      <c r="G10" s="28">
        <v>1000</v>
      </c>
      <c r="H10" s="23"/>
      <c r="I10" s="28">
        <v>220</v>
      </c>
      <c r="J10" s="23"/>
      <c r="K10" s="29">
        <f t="shared" si="0"/>
        <v>0.26400000000000001</v>
      </c>
      <c r="L10" s="30"/>
      <c r="M10" s="20"/>
      <c r="N10" s="49"/>
      <c r="O10" s="48"/>
      <c r="P10" s="49"/>
      <c r="Q10" s="48"/>
      <c r="R10" s="21"/>
      <c r="S10" s="4"/>
      <c r="T10" s="1"/>
      <c r="U10" s="1"/>
      <c r="V10" s="1"/>
      <c r="W10" s="1"/>
    </row>
    <row r="11" spans="1:23" ht="19.5" customHeight="1" x14ac:dyDescent="0.35">
      <c r="A11" s="1"/>
      <c r="B11" s="31" t="s">
        <v>18</v>
      </c>
      <c r="C11" s="32"/>
      <c r="D11" s="23"/>
      <c r="E11" s="22">
        <v>2.5</v>
      </c>
      <c r="F11" s="23"/>
      <c r="G11" s="28">
        <v>1000</v>
      </c>
      <c r="H11" s="23"/>
      <c r="I11" s="28">
        <v>180</v>
      </c>
      <c r="J11" s="23"/>
      <c r="K11" s="29">
        <f t="shared" si="0"/>
        <v>0.44999999999999996</v>
      </c>
      <c r="L11" s="30"/>
      <c r="M11" s="64" t="s">
        <v>19</v>
      </c>
      <c r="N11" s="65"/>
      <c r="O11" s="65"/>
      <c r="P11" s="65"/>
      <c r="Q11" s="65"/>
      <c r="R11" s="66"/>
      <c r="S11" s="1"/>
      <c r="T11" s="1"/>
      <c r="U11" s="1"/>
      <c r="V11" s="1"/>
      <c r="W11" s="1"/>
    </row>
    <row r="12" spans="1:23" ht="19.5" customHeight="1" x14ac:dyDescent="0.35">
      <c r="A12" s="1"/>
      <c r="B12" s="31" t="s">
        <v>20</v>
      </c>
      <c r="C12" s="32"/>
      <c r="D12" s="23"/>
      <c r="E12" s="22">
        <v>2.5</v>
      </c>
      <c r="F12" s="23"/>
      <c r="G12" s="28">
        <v>1000</v>
      </c>
      <c r="H12" s="23"/>
      <c r="I12" s="28">
        <v>150</v>
      </c>
      <c r="J12" s="23"/>
      <c r="K12" s="29">
        <f t="shared" si="0"/>
        <v>0.375</v>
      </c>
      <c r="L12" s="30"/>
      <c r="M12" s="84" t="s">
        <v>21</v>
      </c>
      <c r="N12" s="39"/>
      <c r="O12" s="86" t="s">
        <v>22</v>
      </c>
      <c r="P12" s="39"/>
      <c r="Q12" s="108" t="s">
        <v>23</v>
      </c>
      <c r="R12" s="37"/>
      <c r="S12" s="1"/>
      <c r="T12" s="1"/>
      <c r="U12" s="1"/>
      <c r="V12" s="1"/>
      <c r="W12" s="1"/>
    </row>
    <row r="13" spans="1:23" ht="19.5" customHeight="1" x14ac:dyDescent="0.35">
      <c r="A13" s="1"/>
      <c r="B13" s="31" t="s">
        <v>24</v>
      </c>
      <c r="C13" s="32"/>
      <c r="D13" s="23"/>
      <c r="E13" s="22">
        <v>6</v>
      </c>
      <c r="F13" s="23"/>
      <c r="G13" s="28">
        <v>60</v>
      </c>
      <c r="H13" s="23"/>
      <c r="I13" s="28">
        <v>7.5</v>
      </c>
      <c r="J13" s="23"/>
      <c r="K13" s="29">
        <f t="shared" si="0"/>
        <v>0.75</v>
      </c>
      <c r="L13" s="30"/>
      <c r="M13" s="20"/>
      <c r="N13" s="49"/>
      <c r="O13" s="48"/>
      <c r="P13" s="49"/>
      <c r="Q13" s="48"/>
      <c r="R13" s="21"/>
      <c r="S13" s="1"/>
      <c r="T13" s="1"/>
      <c r="U13" s="1"/>
      <c r="V13" s="1"/>
      <c r="W13" s="1"/>
    </row>
    <row r="14" spans="1:23" ht="19.5" customHeight="1" x14ac:dyDescent="0.35">
      <c r="A14" s="1"/>
      <c r="B14" s="31" t="s">
        <v>25</v>
      </c>
      <c r="C14" s="32"/>
      <c r="D14" s="23"/>
      <c r="E14" s="22">
        <v>3</v>
      </c>
      <c r="F14" s="23"/>
      <c r="G14" s="28">
        <v>12</v>
      </c>
      <c r="H14" s="23"/>
      <c r="I14" s="28">
        <v>3</v>
      </c>
      <c r="J14" s="23"/>
      <c r="K14" s="29">
        <f t="shared" si="0"/>
        <v>0.75</v>
      </c>
      <c r="L14" s="30"/>
      <c r="M14" s="38">
        <v>0.5</v>
      </c>
      <c r="N14" s="39"/>
      <c r="O14" s="102">
        <v>5</v>
      </c>
      <c r="P14" s="39"/>
      <c r="Q14" s="118">
        <v>0</v>
      </c>
      <c r="R14" s="37"/>
      <c r="S14" s="1"/>
      <c r="T14" s="1"/>
      <c r="U14" s="1"/>
      <c r="V14" s="1"/>
      <c r="W14" s="1"/>
    </row>
    <row r="15" spans="1:23" ht="19.5" customHeight="1" x14ac:dyDescent="0.35">
      <c r="A15" s="1"/>
      <c r="B15" s="31" t="s">
        <v>26</v>
      </c>
      <c r="C15" s="32"/>
      <c r="D15" s="23"/>
      <c r="E15" s="22">
        <v>1.5</v>
      </c>
      <c r="F15" s="23"/>
      <c r="G15" s="28">
        <v>100</v>
      </c>
      <c r="H15" s="23"/>
      <c r="I15" s="28">
        <v>7.5</v>
      </c>
      <c r="J15" s="23"/>
      <c r="K15" s="29">
        <f t="shared" si="0"/>
        <v>0.11249999999999999</v>
      </c>
      <c r="L15" s="30"/>
      <c r="M15" s="36"/>
      <c r="N15" s="39"/>
      <c r="O15" s="103"/>
      <c r="P15" s="39"/>
      <c r="Q15" s="103"/>
      <c r="R15" s="37"/>
      <c r="S15" s="1"/>
      <c r="T15" s="1"/>
      <c r="U15" s="1"/>
      <c r="V15" s="1"/>
      <c r="W15" s="1"/>
    </row>
    <row r="16" spans="1:23" ht="19.5" customHeight="1" thickBot="1" x14ac:dyDescent="0.4">
      <c r="A16" s="1"/>
      <c r="B16" s="31" t="s">
        <v>27</v>
      </c>
      <c r="C16" s="32"/>
      <c r="D16" s="23"/>
      <c r="E16" s="22">
        <v>1.8</v>
      </c>
      <c r="F16" s="23"/>
      <c r="G16" s="28">
        <v>500</v>
      </c>
      <c r="H16" s="23"/>
      <c r="I16" s="28">
        <v>2.5</v>
      </c>
      <c r="J16" s="23"/>
      <c r="K16" s="29">
        <f t="shared" si="0"/>
        <v>9.0000000000000011E-3</v>
      </c>
      <c r="L16" s="30"/>
      <c r="M16" s="110" t="s">
        <v>28</v>
      </c>
      <c r="N16" s="111"/>
      <c r="O16" s="112" t="s">
        <v>29</v>
      </c>
      <c r="P16" s="111"/>
      <c r="Q16" s="113" t="s">
        <v>30</v>
      </c>
      <c r="R16" s="66"/>
      <c r="S16" s="1"/>
      <c r="T16" s="1"/>
      <c r="U16" s="1"/>
      <c r="V16" s="1"/>
      <c r="W16" s="1"/>
    </row>
    <row r="17" spans="1:23" ht="19.5" customHeight="1" x14ac:dyDescent="0.35">
      <c r="A17" s="1"/>
      <c r="B17" s="31" t="s">
        <v>31</v>
      </c>
      <c r="C17" s="32"/>
      <c r="D17" s="23"/>
      <c r="E17" s="22">
        <v>2</v>
      </c>
      <c r="F17" s="23"/>
      <c r="G17" s="28">
        <v>100</v>
      </c>
      <c r="H17" s="23"/>
      <c r="I17" s="28">
        <v>3</v>
      </c>
      <c r="J17" s="23"/>
      <c r="K17" s="29">
        <f t="shared" si="0"/>
        <v>0.06</v>
      </c>
      <c r="L17" s="30"/>
      <c r="M17" s="87">
        <v>500</v>
      </c>
      <c r="N17" s="25"/>
      <c r="O17" s="24">
        <v>0</v>
      </c>
      <c r="P17" s="25"/>
      <c r="Q17" s="114">
        <v>0</v>
      </c>
      <c r="R17" s="18"/>
      <c r="S17" s="1"/>
      <c r="T17" s="1"/>
      <c r="U17" s="1"/>
      <c r="V17" s="1"/>
      <c r="W17" s="1"/>
    </row>
    <row r="18" spans="1:23" ht="19.5" customHeight="1" x14ac:dyDescent="0.35">
      <c r="A18" s="1"/>
      <c r="B18" s="31" t="s">
        <v>32</v>
      </c>
      <c r="C18" s="32"/>
      <c r="D18" s="23"/>
      <c r="E18" s="22">
        <v>3</v>
      </c>
      <c r="F18" s="23"/>
      <c r="G18" s="28">
        <v>100</v>
      </c>
      <c r="H18" s="23"/>
      <c r="I18" s="28">
        <v>1.5</v>
      </c>
      <c r="J18" s="23"/>
      <c r="K18" s="29">
        <f t="shared" si="0"/>
        <v>4.4999999999999998E-2</v>
      </c>
      <c r="L18" s="30"/>
      <c r="M18" s="88"/>
      <c r="N18" s="27"/>
      <c r="O18" s="26"/>
      <c r="P18" s="27"/>
      <c r="Q18" s="26"/>
      <c r="R18" s="106"/>
      <c r="S18" s="1"/>
      <c r="T18" s="1"/>
      <c r="U18" s="1"/>
      <c r="V18" s="1"/>
      <c r="W18" s="1"/>
    </row>
    <row r="19" spans="1:23" ht="19.5" customHeight="1" x14ac:dyDescent="0.35">
      <c r="A19" s="1"/>
      <c r="B19" s="31" t="s">
        <v>33</v>
      </c>
      <c r="C19" s="32"/>
      <c r="D19" s="23"/>
      <c r="E19" s="22">
        <v>3.5</v>
      </c>
      <c r="F19" s="23"/>
      <c r="G19" s="28">
        <v>100</v>
      </c>
      <c r="H19" s="23"/>
      <c r="I19" s="28">
        <v>1</v>
      </c>
      <c r="J19" s="23"/>
      <c r="K19" s="29">
        <f t="shared" si="0"/>
        <v>3.5000000000000003E-2</v>
      </c>
      <c r="L19" s="30"/>
      <c r="M19" s="7"/>
      <c r="N19" s="8"/>
      <c r="O19" s="9"/>
      <c r="P19" s="8"/>
      <c r="Q19" s="9"/>
      <c r="R19" s="10"/>
      <c r="S19" s="1"/>
      <c r="T19" s="1"/>
      <c r="U19" s="1"/>
      <c r="V19" s="1"/>
      <c r="W19" s="1"/>
    </row>
    <row r="20" spans="1:23" ht="19.5" customHeight="1" x14ac:dyDescent="0.35">
      <c r="A20" s="1"/>
      <c r="B20" s="31" t="s">
        <v>34</v>
      </c>
      <c r="C20" s="32"/>
      <c r="D20" s="23"/>
      <c r="E20" s="44">
        <v>0.8</v>
      </c>
      <c r="F20" s="45"/>
      <c r="G20" s="58">
        <v>1000</v>
      </c>
      <c r="H20" s="45"/>
      <c r="I20" s="58">
        <v>1</v>
      </c>
      <c r="J20" s="45"/>
      <c r="K20" s="29">
        <f t="shared" si="0"/>
        <v>8.0000000000000004E-4</v>
      </c>
      <c r="L20" s="30"/>
      <c r="M20" s="11"/>
      <c r="N20" s="12"/>
      <c r="O20" s="13"/>
      <c r="P20" s="12"/>
      <c r="Q20" s="13"/>
      <c r="R20" s="14"/>
      <c r="S20" s="1"/>
      <c r="T20" s="1"/>
      <c r="U20" s="1"/>
      <c r="V20" s="1"/>
      <c r="W20" s="1"/>
    </row>
    <row r="21" spans="1:23" ht="19.5" customHeight="1" x14ac:dyDescent="0.35">
      <c r="A21" s="1"/>
      <c r="B21" s="31" t="s">
        <v>35</v>
      </c>
      <c r="C21" s="32"/>
      <c r="D21" s="23"/>
      <c r="E21" s="44">
        <v>3</v>
      </c>
      <c r="F21" s="45"/>
      <c r="G21" s="58">
        <v>200</v>
      </c>
      <c r="H21" s="45"/>
      <c r="I21" s="58">
        <v>200</v>
      </c>
      <c r="J21" s="45"/>
      <c r="K21" s="29">
        <f t="shared" si="0"/>
        <v>3</v>
      </c>
      <c r="L21" s="30"/>
      <c r="M21" s="15"/>
      <c r="N21" s="15"/>
      <c r="O21" s="15"/>
      <c r="P21" s="15"/>
      <c r="Q21" s="15"/>
      <c r="R21" s="15"/>
      <c r="S21" s="1"/>
      <c r="T21" s="1"/>
      <c r="U21" s="1"/>
      <c r="V21" s="1"/>
      <c r="W21" s="1"/>
    </row>
    <row r="22" spans="1:23" ht="19.5" customHeight="1" x14ac:dyDescent="0.35">
      <c r="A22" s="1"/>
      <c r="B22" s="31" t="s">
        <v>36</v>
      </c>
      <c r="C22" s="32"/>
      <c r="D22" s="23"/>
      <c r="E22" s="44">
        <v>2.8</v>
      </c>
      <c r="F22" s="45"/>
      <c r="G22" s="58">
        <v>250</v>
      </c>
      <c r="H22" s="45"/>
      <c r="I22" s="58">
        <v>60</v>
      </c>
      <c r="J22" s="45"/>
      <c r="K22" s="29">
        <f t="shared" si="0"/>
        <v>0.67199999999999993</v>
      </c>
      <c r="L22" s="30"/>
      <c r="M22" s="15"/>
      <c r="N22" s="15"/>
      <c r="O22" s="15"/>
      <c r="P22" s="15"/>
      <c r="Q22" s="15"/>
      <c r="R22" s="15"/>
      <c r="S22" s="1"/>
      <c r="T22" s="1"/>
      <c r="U22" s="1"/>
      <c r="V22" s="1"/>
      <c r="W22" s="1"/>
    </row>
    <row r="23" spans="1:23" ht="19.5" customHeight="1" x14ac:dyDescent="0.35">
      <c r="A23" s="1"/>
      <c r="B23" s="52" t="s">
        <v>37</v>
      </c>
      <c r="C23" s="53"/>
      <c r="D23" s="54"/>
      <c r="E23" s="131">
        <v>1.8</v>
      </c>
      <c r="F23" s="54"/>
      <c r="G23" s="101">
        <v>500</v>
      </c>
      <c r="H23" s="54"/>
      <c r="I23" s="101">
        <v>180</v>
      </c>
      <c r="J23" s="54"/>
      <c r="K23" s="116">
        <f t="shared" si="0"/>
        <v>0.64800000000000002</v>
      </c>
      <c r="L23" s="117"/>
      <c r="M23" s="15"/>
      <c r="N23" s="15"/>
      <c r="O23" s="15"/>
      <c r="P23" s="15"/>
      <c r="Q23" s="15"/>
      <c r="R23" s="15"/>
      <c r="S23" s="1"/>
      <c r="T23" s="1"/>
      <c r="U23" s="1"/>
      <c r="V23" s="1"/>
      <c r="W23" s="1"/>
    </row>
    <row r="24" spans="1:23" ht="7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5">
      <c r="A25" s="1"/>
      <c r="B25" s="42" t="s">
        <v>38</v>
      </c>
      <c r="C25" s="41"/>
      <c r="D25" s="41"/>
      <c r="E25" s="41"/>
      <c r="F25" s="43"/>
      <c r="G25" s="33">
        <f>SUM(K9:L23)</f>
        <v>7.3712999999999989</v>
      </c>
      <c r="H25" s="34"/>
      <c r="I25" s="42" t="s">
        <v>39</v>
      </c>
      <c r="J25" s="41"/>
      <c r="K25" s="41"/>
      <c r="L25" s="41"/>
      <c r="M25" s="43"/>
      <c r="N25" s="40">
        <f>(Q9/60)*(M17/((O9*5)*M9))</f>
        <v>6.25</v>
      </c>
      <c r="O25" s="41"/>
      <c r="P25" s="123"/>
      <c r="Q25" s="124"/>
      <c r="R25" s="125"/>
      <c r="S25" s="1"/>
      <c r="T25" s="1"/>
      <c r="U25" s="1"/>
      <c r="V25" s="1"/>
      <c r="W25" s="1"/>
    </row>
    <row r="26" spans="1:23" ht="19.5" customHeight="1" x14ac:dyDescent="0.35">
      <c r="A26" s="1"/>
      <c r="B26" s="42" t="s">
        <v>19</v>
      </c>
      <c r="C26" s="41"/>
      <c r="D26" s="41"/>
      <c r="E26" s="41"/>
      <c r="F26" s="43"/>
      <c r="G26" s="33">
        <f>SUM(M14:R15,O17:R20)</f>
        <v>5.5</v>
      </c>
      <c r="H26" s="34"/>
      <c r="I26" s="120" t="s">
        <v>40</v>
      </c>
      <c r="J26" s="121"/>
      <c r="K26" s="121"/>
      <c r="L26" s="121"/>
      <c r="M26" s="45"/>
      <c r="N26" s="40">
        <f>(O9*5)*M9</f>
        <v>160</v>
      </c>
      <c r="O26" s="41"/>
      <c r="P26" s="126"/>
      <c r="Q26" s="127"/>
      <c r="R26" s="128"/>
      <c r="S26" s="1"/>
      <c r="T26" s="1"/>
      <c r="U26" s="1"/>
      <c r="V26" s="1"/>
      <c r="W26" s="1"/>
    </row>
    <row r="27" spans="1:23" ht="19.5" customHeight="1" x14ac:dyDescent="0.5">
      <c r="A27" s="1"/>
      <c r="B27" s="42" t="s">
        <v>41</v>
      </c>
      <c r="C27" s="41"/>
      <c r="D27" s="41"/>
      <c r="E27" s="41"/>
      <c r="F27" s="43"/>
      <c r="G27" s="33">
        <f>N5/((O9*5)*M9)*(Q9/60)</f>
        <v>3.75</v>
      </c>
      <c r="H27" s="34"/>
      <c r="I27" s="100" t="s">
        <v>42</v>
      </c>
      <c r="J27" s="41"/>
      <c r="K27" s="41"/>
      <c r="L27" s="41"/>
      <c r="M27" s="43"/>
      <c r="N27" s="104">
        <f>G28+(G28*(N4))</f>
        <v>38.881209999999996</v>
      </c>
      <c r="O27" s="34"/>
      <c r="P27" s="126"/>
      <c r="Q27" s="127"/>
      <c r="R27" s="128"/>
      <c r="S27" s="1"/>
      <c r="T27" s="1"/>
      <c r="U27" s="1"/>
      <c r="V27" s="1"/>
      <c r="W27" s="1"/>
    </row>
    <row r="28" spans="1:23" ht="19.5" customHeight="1" x14ac:dyDescent="0.5">
      <c r="A28" s="1"/>
      <c r="B28" s="42" t="s">
        <v>43</v>
      </c>
      <c r="C28" s="41"/>
      <c r="D28" s="41"/>
      <c r="E28" s="41"/>
      <c r="F28" s="43"/>
      <c r="G28" s="33">
        <f>SUM(G25:H27,N25)</f>
        <v>22.871299999999998</v>
      </c>
      <c r="H28" s="34"/>
      <c r="I28" s="122" t="s">
        <v>44</v>
      </c>
      <c r="J28" s="32"/>
      <c r="K28" s="32"/>
      <c r="L28" s="32"/>
      <c r="M28" s="23"/>
      <c r="N28" s="104">
        <f>(N27/F5)</f>
        <v>3.8881209999999995</v>
      </c>
      <c r="O28" s="34"/>
      <c r="P28" s="126"/>
      <c r="Q28" s="127"/>
      <c r="R28" s="128"/>
      <c r="S28" s="1"/>
      <c r="T28" s="1"/>
      <c r="U28" s="1"/>
      <c r="V28" s="1"/>
      <c r="W28" s="1"/>
    </row>
    <row r="29" spans="1:23" ht="19.5" customHeight="1" x14ac:dyDescent="0.5">
      <c r="A29" s="1"/>
      <c r="B29" s="42" t="s">
        <v>45</v>
      </c>
      <c r="C29" s="41"/>
      <c r="D29" s="41"/>
      <c r="E29" s="41"/>
      <c r="F29" s="43"/>
      <c r="G29" s="33">
        <f>G28/F5</f>
        <v>2.2871299999999999</v>
      </c>
      <c r="H29" s="34"/>
      <c r="I29" s="115" t="s">
        <v>46</v>
      </c>
      <c r="J29" s="53"/>
      <c r="K29" s="53"/>
      <c r="L29" s="53"/>
      <c r="M29" s="54"/>
      <c r="N29" s="104">
        <f>N27-G28</f>
        <v>16.009909999999998</v>
      </c>
      <c r="O29" s="34"/>
      <c r="P29" s="129"/>
      <c r="Q29" s="130"/>
      <c r="R29" s="109"/>
      <c r="S29" s="1"/>
      <c r="T29" s="1"/>
      <c r="U29" s="1"/>
      <c r="V29" s="1"/>
      <c r="W29" s="1"/>
    </row>
    <row r="30" spans="1:23" ht="19.5" customHeight="1" x14ac:dyDescent="0.4">
      <c r="A30" s="1"/>
      <c r="B30" s="6"/>
      <c r="C30" s="1"/>
      <c r="D30" s="1"/>
      <c r="E30" s="1"/>
      <c r="F30" s="1"/>
      <c r="G30" s="1"/>
      <c r="H30" s="1"/>
      <c r="I30" s="4"/>
      <c r="J30" s="4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1"/>
      <c r="B31" s="46"/>
      <c r="C31" s="18"/>
      <c r="D31" s="16" t="s">
        <v>49</v>
      </c>
      <c r="E31" s="17"/>
      <c r="F31" s="17"/>
      <c r="G31" s="17"/>
      <c r="H31" s="17"/>
      <c r="I31" s="18"/>
      <c r="J31" s="4"/>
      <c r="K31" s="4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1"/>
      <c r="B32" s="35"/>
      <c r="C32" s="37"/>
      <c r="D32" s="35"/>
      <c r="E32" s="36"/>
      <c r="F32" s="36"/>
      <c r="G32" s="36"/>
      <c r="H32" s="36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1"/>
      <c r="B33" s="91"/>
      <c r="C33" s="92"/>
      <c r="D33" s="35"/>
      <c r="E33" s="36"/>
      <c r="F33" s="36"/>
      <c r="G33" s="36"/>
      <c r="H33" s="36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 x14ac:dyDescent="0.3">
      <c r="A34" s="1"/>
      <c r="B34" s="93"/>
      <c r="C34" s="94"/>
      <c r="D34" s="19"/>
      <c r="E34" s="20"/>
      <c r="F34" s="20"/>
      <c r="G34" s="20"/>
      <c r="H34" s="20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 x14ac:dyDescent="0.3">
      <c r="A35" s="1"/>
      <c r="B35" s="98"/>
      <c r="C35" s="18"/>
      <c r="D35" s="16" t="s">
        <v>47</v>
      </c>
      <c r="E35" s="17"/>
      <c r="F35" s="17"/>
      <c r="G35" s="17"/>
      <c r="H35" s="17"/>
      <c r="I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 x14ac:dyDescent="0.3">
      <c r="A36" s="1"/>
      <c r="B36" s="19"/>
      <c r="C36" s="21"/>
      <c r="D36" s="19"/>
      <c r="E36" s="20"/>
      <c r="F36" s="20"/>
      <c r="G36" s="20"/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 x14ac:dyDescent="0.3"/>
    <row r="38" spans="1:23" ht="19.5" customHeight="1" x14ac:dyDescent="0.3"/>
    <row r="39" spans="1:23" ht="19.5" customHeight="1" x14ac:dyDescent="0.3"/>
    <row r="40" spans="1:23" ht="19.5" customHeight="1" x14ac:dyDescent="0.3"/>
    <row r="41" spans="1:23" ht="15.75" customHeight="1" x14ac:dyDescent="0.3"/>
    <row r="42" spans="1:23" ht="15.75" customHeight="1" x14ac:dyDescent="0.3"/>
    <row r="43" spans="1:23" ht="15.75" customHeight="1" x14ac:dyDescent="0.3"/>
    <row r="44" spans="1:23" ht="15.75" customHeight="1" x14ac:dyDescent="0.3"/>
    <row r="45" spans="1:23" ht="15.75" customHeight="1" x14ac:dyDescent="0.3"/>
    <row r="46" spans="1:23" ht="15.75" customHeight="1" x14ac:dyDescent="0.3"/>
    <row r="47" spans="1:23" ht="15.75" customHeight="1" x14ac:dyDescent="0.3"/>
    <row r="48" spans="1:2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39">
    <mergeCell ref="Q9:R10"/>
    <mergeCell ref="I26:M26"/>
    <mergeCell ref="I28:M28"/>
    <mergeCell ref="P25:R29"/>
    <mergeCell ref="E23:F23"/>
    <mergeCell ref="G26:H26"/>
    <mergeCell ref="I25:M25"/>
    <mergeCell ref="G27:H27"/>
    <mergeCell ref="Q8:R8"/>
    <mergeCell ref="B29:F29"/>
    <mergeCell ref="M16:N16"/>
    <mergeCell ref="O16:P16"/>
    <mergeCell ref="Q16:R16"/>
    <mergeCell ref="Q17:R18"/>
    <mergeCell ref="E21:F21"/>
    <mergeCell ref="I12:J12"/>
    <mergeCell ref="G21:H21"/>
    <mergeCell ref="K12:L12"/>
    <mergeCell ref="N25:O25"/>
    <mergeCell ref="E11:F11"/>
    <mergeCell ref="G11:H11"/>
    <mergeCell ref="I14:J14"/>
    <mergeCell ref="K14:L14"/>
    <mergeCell ref="Q12:R13"/>
    <mergeCell ref="K18:L18"/>
    <mergeCell ref="G20:H20"/>
    <mergeCell ref="M12:N13"/>
    <mergeCell ref="B10:D10"/>
    <mergeCell ref="I29:M29"/>
    <mergeCell ref="K23:L23"/>
    <mergeCell ref="Q14:R15"/>
    <mergeCell ref="E22:F22"/>
    <mergeCell ref="B35:C36"/>
    <mergeCell ref="B18:D18"/>
    <mergeCell ref="B8:D8"/>
    <mergeCell ref="I27:M27"/>
    <mergeCell ref="O12:P13"/>
    <mergeCell ref="G23:H23"/>
    <mergeCell ref="I23:J23"/>
    <mergeCell ref="O14:P15"/>
    <mergeCell ref="N27:O27"/>
    <mergeCell ref="I16:J16"/>
    <mergeCell ref="G25:H25"/>
    <mergeCell ref="K16:L16"/>
    <mergeCell ref="N29:O29"/>
    <mergeCell ref="E15:F15"/>
    <mergeCell ref="G15:H15"/>
    <mergeCell ref="I9:J9"/>
    <mergeCell ref="K9:L9"/>
    <mergeCell ref="G17:H17"/>
    <mergeCell ref="I17:J17"/>
    <mergeCell ref="B19:D19"/>
    <mergeCell ref="N28:O28"/>
    <mergeCell ref="B27:F27"/>
    <mergeCell ref="G22:H22"/>
    <mergeCell ref="B26:F26"/>
    <mergeCell ref="B1:B3"/>
    <mergeCell ref="C1:R3"/>
    <mergeCell ref="G8:H8"/>
    <mergeCell ref="E17:F17"/>
    <mergeCell ref="P5:R5"/>
    <mergeCell ref="I8:J8"/>
    <mergeCell ref="K15:L15"/>
    <mergeCell ref="B13:D13"/>
    <mergeCell ref="B22:D22"/>
    <mergeCell ref="G10:H10"/>
    <mergeCell ref="B5:E5"/>
    <mergeCell ref="I10:J10"/>
    <mergeCell ref="K8:L8"/>
    <mergeCell ref="B12:D12"/>
    <mergeCell ref="M8:N8"/>
    <mergeCell ref="O8:P8"/>
    <mergeCell ref="K10:L10"/>
    <mergeCell ref="M17:N18"/>
    <mergeCell ref="E12:F12"/>
    <mergeCell ref="H5:M5"/>
    <mergeCell ref="N5:O5"/>
    <mergeCell ref="B16:D16"/>
    <mergeCell ref="F5:G5"/>
    <mergeCell ref="E13:F13"/>
    <mergeCell ref="M7:R7"/>
    <mergeCell ref="I20:J20"/>
    <mergeCell ref="E14:F14"/>
    <mergeCell ref="H4:M4"/>
    <mergeCell ref="G14:H14"/>
    <mergeCell ref="I22:J22"/>
    <mergeCell ref="K22:L22"/>
    <mergeCell ref="B4:C4"/>
    <mergeCell ref="B21:D21"/>
    <mergeCell ref="M9:N10"/>
    <mergeCell ref="B11:D11"/>
    <mergeCell ref="K17:L17"/>
    <mergeCell ref="E16:F16"/>
    <mergeCell ref="D4:G4"/>
    <mergeCell ref="G16:H16"/>
    <mergeCell ref="M11:R11"/>
    <mergeCell ref="K19:L19"/>
    <mergeCell ref="E9:F9"/>
    <mergeCell ref="G9:H9"/>
    <mergeCell ref="I21:J21"/>
    <mergeCell ref="K20:L20"/>
    <mergeCell ref="B9:D9"/>
    <mergeCell ref="N4:O4"/>
    <mergeCell ref="P4:R4"/>
    <mergeCell ref="E8:F8"/>
    <mergeCell ref="K21:L21"/>
    <mergeCell ref="B23:D23"/>
    <mergeCell ref="B7:L7"/>
    <mergeCell ref="I11:J11"/>
    <mergeCell ref="B28:F28"/>
    <mergeCell ref="K11:L11"/>
    <mergeCell ref="G29:H29"/>
    <mergeCell ref="G12:H12"/>
    <mergeCell ref="I15:J15"/>
    <mergeCell ref="B20:D20"/>
    <mergeCell ref="D35:I36"/>
    <mergeCell ref="E10:F10"/>
    <mergeCell ref="O17:P18"/>
    <mergeCell ref="G13:H13"/>
    <mergeCell ref="I13:J13"/>
    <mergeCell ref="K13:L13"/>
    <mergeCell ref="B15:D15"/>
    <mergeCell ref="G28:H28"/>
    <mergeCell ref="D31:I34"/>
    <mergeCell ref="B17:D17"/>
    <mergeCell ref="M14:N15"/>
    <mergeCell ref="N26:O26"/>
    <mergeCell ref="B25:F25"/>
    <mergeCell ref="E20:F20"/>
    <mergeCell ref="E18:F18"/>
    <mergeCell ref="G18:H18"/>
    <mergeCell ref="I18:J18"/>
    <mergeCell ref="E19:F19"/>
    <mergeCell ref="G19:H19"/>
    <mergeCell ref="I19:J19"/>
    <mergeCell ref="B31:C32"/>
    <mergeCell ref="B14:D14"/>
    <mergeCell ref="O9:P10"/>
    <mergeCell ref="B33:C34"/>
  </mergeCells>
  <printOptions horizontalCentered="1" verticalCentered="1"/>
  <pageMargins left="0.15748031496062989" right="0.15748031496062989" top="0.78740157480314965" bottom="0.78740157480314965" header="0" footer="0"/>
  <pageSetup paperSize="9" scale="9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F5AF-D6C2-4C97-AC3E-A39BF372B9C1}">
  <dimension ref="A1:W1001"/>
  <sheetViews>
    <sheetView tabSelected="1" topLeftCell="A4" workbookViewId="0">
      <selection activeCell="E14" sqref="E14:F14"/>
    </sheetView>
  </sheetViews>
  <sheetFormatPr baseColWidth="10" defaultColWidth="14.44140625" defaultRowHeight="15" customHeight="1" x14ac:dyDescent="0.3"/>
  <cols>
    <col min="1" max="1" width="0.6640625" customWidth="1"/>
    <col min="2" max="2" width="17.88671875" customWidth="1"/>
    <col min="3" max="3" width="8.6640625" customWidth="1"/>
    <col min="4" max="4" width="14.6640625" customWidth="1"/>
    <col min="5" max="6" width="8.6640625" customWidth="1"/>
    <col min="7" max="8" width="8.109375" customWidth="1"/>
    <col min="9" max="10" width="7.44140625" customWidth="1"/>
    <col min="11" max="12" width="7.109375" customWidth="1"/>
    <col min="13" max="14" width="8.33203125" customWidth="1"/>
    <col min="15" max="15" width="8.6640625" customWidth="1"/>
    <col min="16" max="16" width="11.88671875" customWidth="1"/>
    <col min="17" max="17" width="8.6640625" customWidth="1"/>
    <col min="18" max="18" width="16.77734375" customWidth="1"/>
    <col min="19" max="27" width="8.6640625" customWidth="1"/>
  </cols>
  <sheetData>
    <row r="1" spans="1:23" ht="15" customHeight="1" x14ac:dyDescent="0.85">
      <c r="A1" s="1"/>
      <c r="B1" s="69" t="e" vm="1">
        <v>#VALUE!</v>
      </c>
      <c r="C1" s="72" t="s">
        <v>0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3"/>
      <c r="S1" s="2"/>
      <c r="T1" s="3"/>
      <c r="U1" s="3"/>
      <c r="V1" s="3"/>
      <c r="W1" s="3"/>
    </row>
    <row r="2" spans="1:23" ht="38.4" customHeight="1" x14ac:dyDescent="0.85">
      <c r="A2" s="1"/>
      <c r="B2" s="70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2"/>
      <c r="T2" s="3"/>
      <c r="U2" s="3"/>
      <c r="V2" s="3"/>
      <c r="W2" s="3"/>
    </row>
    <row r="3" spans="1:23" ht="60.75" customHeight="1" thickBot="1" x14ac:dyDescent="0.9">
      <c r="A3" s="1"/>
      <c r="B3" s="71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7"/>
      <c r="S3" s="2"/>
      <c r="T3" s="3"/>
      <c r="U3" s="3"/>
      <c r="V3" s="3"/>
      <c r="W3" s="3"/>
    </row>
    <row r="4" spans="1:23" ht="24" customHeight="1" thickBot="1" x14ac:dyDescent="0.4">
      <c r="A4" s="1"/>
      <c r="B4" s="59" t="s">
        <v>1</v>
      </c>
      <c r="C4" s="61"/>
      <c r="D4" s="63"/>
      <c r="E4" s="60"/>
      <c r="F4" s="60"/>
      <c r="G4" s="60"/>
      <c r="H4" s="59" t="s">
        <v>3</v>
      </c>
      <c r="I4" s="60"/>
      <c r="J4" s="60"/>
      <c r="K4" s="60"/>
      <c r="L4" s="60"/>
      <c r="M4" s="61"/>
      <c r="N4" s="89"/>
      <c r="O4" s="90"/>
      <c r="P4" s="107" t="s">
        <v>4</v>
      </c>
      <c r="Q4" s="60"/>
      <c r="R4" s="90"/>
      <c r="S4" s="4"/>
      <c r="T4" s="3"/>
      <c r="U4" s="3"/>
      <c r="V4" s="3"/>
      <c r="W4" s="3"/>
    </row>
    <row r="5" spans="1:23" ht="24" customHeight="1" thickBot="1" x14ac:dyDescent="0.4">
      <c r="A5" s="1"/>
      <c r="B5" s="81" t="s">
        <v>48</v>
      </c>
      <c r="C5" s="79"/>
      <c r="D5" s="79"/>
      <c r="E5" s="82"/>
      <c r="F5" s="95"/>
      <c r="G5" s="90"/>
      <c r="H5" s="59" t="s">
        <v>5</v>
      </c>
      <c r="I5" s="60"/>
      <c r="J5" s="60"/>
      <c r="K5" s="60"/>
      <c r="L5" s="60"/>
      <c r="M5" s="61"/>
      <c r="N5" s="89"/>
      <c r="O5" s="90"/>
      <c r="P5" s="78"/>
      <c r="Q5" s="79"/>
      <c r="R5" s="80"/>
      <c r="S5" s="4"/>
      <c r="T5" s="3"/>
      <c r="U5" s="3"/>
      <c r="V5" s="3"/>
      <c r="W5" s="3"/>
    </row>
    <row r="6" spans="1:23" ht="7.5" customHeight="1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1"/>
    </row>
    <row r="7" spans="1:23" ht="24" customHeight="1" thickBot="1" x14ac:dyDescent="0.45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/>
      <c r="L7" s="57"/>
      <c r="M7" s="55" t="s">
        <v>7</v>
      </c>
      <c r="N7" s="56"/>
      <c r="O7" s="56"/>
      <c r="P7" s="56"/>
      <c r="Q7" s="56"/>
      <c r="R7" s="57"/>
      <c r="S7" s="6"/>
      <c r="T7" s="1"/>
      <c r="U7" s="1"/>
      <c r="V7" s="1"/>
      <c r="W7" s="1"/>
    </row>
    <row r="8" spans="1:23" ht="48" customHeight="1" thickBot="1" x14ac:dyDescent="0.35">
      <c r="A8" s="1"/>
      <c r="B8" s="99" t="s">
        <v>8</v>
      </c>
      <c r="C8" s="56"/>
      <c r="D8" s="51"/>
      <c r="E8" s="50" t="s">
        <v>9</v>
      </c>
      <c r="F8" s="51"/>
      <c r="G8" s="50" t="s">
        <v>10</v>
      </c>
      <c r="H8" s="51"/>
      <c r="I8" s="50" t="s">
        <v>11</v>
      </c>
      <c r="J8" s="51"/>
      <c r="K8" s="83" t="s">
        <v>12</v>
      </c>
      <c r="L8" s="57"/>
      <c r="M8" s="84" t="s">
        <v>13</v>
      </c>
      <c r="N8" s="85"/>
      <c r="O8" s="86" t="s">
        <v>14</v>
      </c>
      <c r="P8" s="85"/>
      <c r="Q8" s="108" t="s">
        <v>15</v>
      </c>
      <c r="R8" s="109"/>
      <c r="S8" s="3"/>
      <c r="T8" s="1"/>
      <c r="U8" s="1"/>
      <c r="V8" s="1"/>
      <c r="W8" s="1"/>
    </row>
    <row r="9" spans="1:23" ht="19.5" customHeight="1" thickBot="1" x14ac:dyDescent="0.4">
      <c r="A9" s="1"/>
      <c r="B9" s="96"/>
      <c r="C9" s="97"/>
      <c r="D9" s="27"/>
      <c r="E9" s="67"/>
      <c r="F9" s="27"/>
      <c r="G9" s="68"/>
      <c r="H9" s="27"/>
      <c r="I9" s="68"/>
      <c r="J9" s="27"/>
      <c r="K9" s="105" t="b">
        <f t="shared" ref="K9:K23" si="0">IF(E9&lt;&gt;"",I9/G9*E9)</f>
        <v>0</v>
      </c>
      <c r="L9" s="106"/>
      <c r="M9" s="62"/>
      <c r="N9" s="39"/>
      <c r="O9" s="47"/>
      <c r="P9" s="39"/>
      <c r="Q9" s="119"/>
      <c r="R9" s="37"/>
      <c r="S9" s="4"/>
      <c r="T9" s="1"/>
      <c r="U9" s="1"/>
      <c r="V9" s="1"/>
      <c r="W9" s="1"/>
    </row>
    <row r="10" spans="1:23" ht="19.5" customHeight="1" thickBot="1" x14ac:dyDescent="0.4">
      <c r="A10" s="1"/>
      <c r="B10" s="31"/>
      <c r="C10" s="32"/>
      <c r="D10" s="23"/>
      <c r="E10" s="22"/>
      <c r="F10" s="23"/>
      <c r="G10" s="28"/>
      <c r="H10" s="23"/>
      <c r="I10" s="28"/>
      <c r="J10" s="23"/>
      <c r="K10" s="29" t="b">
        <f t="shared" si="0"/>
        <v>0</v>
      </c>
      <c r="L10" s="30"/>
      <c r="M10" s="20"/>
      <c r="N10" s="49"/>
      <c r="O10" s="48"/>
      <c r="P10" s="49"/>
      <c r="Q10" s="48"/>
      <c r="R10" s="21"/>
      <c r="S10" s="4"/>
      <c r="T10" s="1"/>
      <c r="U10" s="1"/>
      <c r="V10" s="1"/>
      <c r="W10" s="1"/>
    </row>
    <row r="11" spans="1:23" ht="19.5" customHeight="1" thickBot="1" x14ac:dyDescent="0.4">
      <c r="A11" s="1"/>
      <c r="B11" s="31"/>
      <c r="C11" s="32"/>
      <c r="D11" s="23"/>
      <c r="E11" s="22"/>
      <c r="F11" s="23"/>
      <c r="G11" s="28"/>
      <c r="H11" s="23"/>
      <c r="I11" s="28"/>
      <c r="J11" s="23"/>
      <c r="K11" s="29" t="b">
        <f t="shared" si="0"/>
        <v>0</v>
      </c>
      <c r="L11" s="30"/>
      <c r="M11" s="64" t="s">
        <v>19</v>
      </c>
      <c r="N11" s="65"/>
      <c r="O11" s="65"/>
      <c r="P11" s="65"/>
      <c r="Q11" s="65"/>
      <c r="R11" s="66"/>
      <c r="S11" s="1"/>
      <c r="T11" s="1"/>
      <c r="U11" s="1"/>
      <c r="V11" s="1"/>
      <c r="W11" s="1"/>
    </row>
    <row r="12" spans="1:23" ht="19.5" customHeight="1" thickBot="1" x14ac:dyDescent="0.4">
      <c r="A12" s="1"/>
      <c r="B12" s="31"/>
      <c r="C12" s="32"/>
      <c r="D12" s="23"/>
      <c r="E12" s="22"/>
      <c r="F12" s="23"/>
      <c r="G12" s="28"/>
      <c r="H12" s="23"/>
      <c r="I12" s="28"/>
      <c r="J12" s="23"/>
      <c r="K12" s="29" t="b">
        <f t="shared" si="0"/>
        <v>0</v>
      </c>
      <c r="L12" s="30"/>
      <c r="M12" s="84" t="s">
        <v>21</v>
      </c>
      <c r="N12" s="39"/>
      <c r="O12" s="86" t="s">
        <v>22</v>
      </c>
      <c r="P12" s="39"/>
      <c r="Q12" s="108" t="s">
        <v>23</v>
      </c>
      <c r="R12" s="37"/>
      <c r="S12" s="1"/>
      <c r="T12" s="1"/>
      <c r="U12" s="1"/>
      <c r="V12" s="1"/>
      <c r="W12" s="1"/>
    </row>
    <row r="13" spans="1:23" ht="19.5" customHeight="1" thickBot="1" x14ac:dyDescent="0.4">
      <c r="A13" s="1"/>
      <c r="B13" s="31"/>
      <c r="C13" s="32"/>
      <c r="D13" s="23"/>
      <c r="E13" s="22"/>
      <c r="F13" s="23"/>
      <c r="G13" s="28"/>
      <c r="H13" s="23"/>
      <c r="I13" s="28"/>
      <c r="J13" s="23"/>
      <c r="K13" s="29" t="b">
        <f t="shared" si="0"/>
        <v>0</v>
      </c>
      <c r="L13" s="30"/>
      <c r="M13" s="20"/>
      <c r="N13" s="49"/>
      <c r="O13" s="48"/>
      <c r="P13" s="49"/>
      <c r="Q13" s="48"/>
      <c r="R13" s="21"/>
      <c r="S13" s="1"/>
      <c r="T13" s="1"/>
      <c r="U13" s="1"/>
      <c r="V13" s="1"/>
      <c r="W13" s="1"/>
    </row>
    <row r="14" spans="1:23" ht="19.5" customHeight="1" x14ac:dyDescent="0.35">
      <c r="A14" s="1"/>
      <c r="B14" s="31"/>
      <c r="C14" s="32"/>
      <c r="D14" s="23"/>
      <c r="E14" s="22"/>
      <c r="F14" s="23"/>
      <c r="G14" s="28"/>
      <c r="H14" s="23"/>
      <c r="I14" s="28"/>
      <c r="J14" s="23"/>
      <c r="K14" s="29" t="b">
        <f t="shared" si="0"/>
        <v>0</v>
      </c>
      <c r="L14" s="30"/>
      <c r="M14" s="38"/>
      <c r="N14" s="39"/>
      <c r="O14" s="102"/>
      <c r="P14" s="39"/>
      <c r="Q14" s="118"/>
      <c r="R14" s="37"/>
      <c r="S14" s="1"/>
      <c r="T14" s="1"/>
      <c r="U14" s="1"/>
      <c r="V14" s="1"/>
      <c r="W14" s="1"/>
    </row>
    <row r="15" spans="1:23" ht="19.5" customHeight="1" thickBot="1" x14ac:dyDescent="0.4">
      <c r="A15" s="1"/>
      <c r="B15" s="31"/>
      <c r="C15" s="32"/>
      <c r="D15" s="23"/>
      <c r="E15" s="22"/>
      <c r="F15" s="23"/>
      <c r="G15" s="28"/>
      <c r="H15" s="23"/>
      <c r="I15" s="28"/>
      <c r="J15" s="23"/>
      <c r="K15" s="29" t="b">
        <f t="shared" si="0"/>
        <v>0</v>
      </c>
      <c r="L15" s="30"/>
      <c r="M15" s="36"/>
      <c r="N15" s="39"/>
      <c r="O15" s="103"/>
      <c r="P15" s="39"/>
      <c r="Q15" s="103"/>
      <c r="R15" s="37"/>
      <c r="S15" s="1"/>
      <c r="T15" s="1"/>
      <c r="U15" s="1"/>
      <c r="V15" s="1"/>
      <c r="W15" s="1"/>
    </row>
    <row r="16" spans="1:23" ht="19.5" customHeight="1" thickBot="1" x14ac:dyDescent="0.4">
      <c r="A16" s="1"/>
      <c r="B16" s="31"/>
      <c r="C16" s="32"/>
      <c r="D16" s="23"/>
      <c r="E16" s="22"/>
      <c r="F16" s="23"/>
      <c r="G16" s="28"/>
      <c r="H16" s="23"/>
      <c r="I16" s="28"/>
      <c r="J16" s="23"/>
      <c r="K16" s="29" t="b">
        <f t="shared" si="0"/>
        <v>0</v>
      </c>
      <c r="L16" s="30"/>
      <c r="M16" s="110" t="s">
        <v>28</v>
      </c>
      <c r="N16" s="111"/>
      <c r="O16" s="112" t="s">
        <v>29</v>
      </c>
      <c r="P16" s="111"/>
      <c r="Q16" s="113" t="s">
        <v>30</v>
      </c>
      <c r="R16" s="66"/>
      <c r="S16" s="1"/>
      <c r="T16" s="1"/>
      <c r="U16" s="1"/>
      <c r="V16" s="1"/>
      <c r="W16" s="1"/>
    </row>
    <row r="17" spans="1:23" ht="19.5" customHeight="1" x14ac:dyDescent="0.35">
      <c r="A17" s="1"/>
      <c r="B17" s="31"/>
      <c r="C17" s="32"/>
      <c r="D17" s="23"/>
      <c r="E17" s="22"/>
      <c r="F17" s="23"/>
      <c r="G17" s="28"/>
      <c r="H17" s="23"/>
      <c r="I17" s="28"/>
      <c r="J17" s="23"/>
      <c r="K17" s="29" t="b">
        <f t="shared" si="0"/>
        <v>0</v>
      </c>
      <c r="L17" s="30"/>
      <c r="M17" s="87"/>
      <c r="N17" s="25"/>
      <c r="O17" s="24"/>
      <c r="P17" s="25"/>
      <c r="Q17" s="114"/>
      <c r="R17" s="18"/>
      <c r="S17" s="1"/>
      <c r="T17" s="1"/>
      <c r="U17" s="1"/>
      <c r="V17" s="1"/>
      <c r="W17" s="1"/>
    </row>
    <row r="18" spans="1:23" ht="19.5" customHeight="1" x14ac:dyDescent="0.35">
      <c r="A18" s="1"/>
      <c r="B18" s="31"/>
      <c r="C18" s="32"/>
      <c r="D18" s="23"/>
      <c r="E18" s="22"/>
      <c r="F18" s="23"/>
      <c r="G18" s="28"/>
      <c r="H18" s="23"/>
      <c r="I18" s="28"/>
      <c r="J18" s="23"/>
      <c r="K18" s="29" t="b">
        <f t="shared" si="0"/>
        <v>0</v>
      </c>
      <c r="L18" s="30"/>
      <c r="M18" s="88"/>
      <c r="N18" s="27"/>
      <c r="O18" s="26"/>
      <c r="P18" s="27"/>
      <c r="Q18" s="26"/>
      <c r="R18" s="106"/>
      <c r="S18" s="1"/>
      <c r="T18" s="1"/>
      <c r="U18" s="1"/>
      <c r="V18" s="1"/>
      <c r="W18" s="1"/>
    </row>
    <row r="19" spans="1:23" ht="19.5" customHeight="1" x14ac:dyDescent="0.35">
      <c r="A19" s="1"/>
      <c r="B19" s="31"/>
      <c r="C19" s="32"/>
      <c r="D19" s="23"/>
      <c r="E19" s="22"/>
      <c r="F19" s="23"/>
      <c r="G19" s="28"/>
      <c r="H19" s="23"/>
      <c r="I19" s="28"/>
      <c r="J19" s="23"/>
      <c r="K19" s="29" t="b">
        <f t="shared" si="0"/>
        <v>0</v>
      </c>
      <c r="L19" s="30"/>
      <c r="M19" s="7"/>
      <c r="N19" s="8"/>
      <c r="O19" s="9"/>
      <c r="P19" s="8"/>
      <c r="Q19" s="9"/>
      <c r="R19" s="10"/>
      <c r="S19" s="1"/>
      <c r="T19" s="1"/>
      <c r="U19" s="1"/>
      <c r="V19" s="1"/>
      <c r="W19" s="1"/>
    </row>
    <row r="20" spans="1:23" ht="19.5" customHeight="1" thickBot="1" x14ac:dyDescent="0.4">
      <c r="A20" s="1"/>
      <c r="B20" s="31"/>
      <c r="C20" s="32"/>
      <c r="D20" s="23"/>
      <c r="E20" s="44"/>
      <c r="F20" s="45"/>
      <c r="G20" s="58"/>
      <c r="H20" s="45"/>
      <c r="I20" s="58"/>
      <c r="J20" s="45"/>
      <c r="K20" s="29" t="b">
        <f t="shared" si="0"/>
        <v>0</v>
      </c>
      <c r="L20" s="30"/>
      <c r="M20" s="11"/>
      <c r="N20" s="12"/>
      <c r="O20" s="13"/>
      <c r="P20" s="12"/>
      <c r="Q20" s="13"/>
      <c r="R20" s="14"/>
      <c r="S20" s="1"/>
      <c r="T20" s="1"/>
      <c r="U20" s="1"/>
      <c r="V20" s="1"/>
      <c r="W20" s="1"/>
    </row>
    <row r="21" spans="1:23" ht="19.5" customHeight="1" x14ac:dyDescent="0.35">
      <c r="A21" s="1"/>
      <c r="B21" s="31"/>
      <c r="C21" s="32"/>
      <c r="D21" s="23"/>
      <c r="E21" s="44"/>
      <c r="F21" s="45"/>
      <c r="G21" s="58"/>
      <c r="H21" s="45"/>
      <c r="I21" s="58"/>
      <c r="J21" s="45"/>
      <c r="K21" s="29" t="b">
        <f t="shared" si="0"/>
        <v>0</v>
      </c>
      <c r="L21" s="30"/>
      <c r="M21" s="15"/>
      <c r="N21" s="15"/>
      <c r="O21" s="15"/>
      <c r="P21" s="15"/>
      <c r="Q21" s="15"/>
      <c r="R21" s="15"/>
      <c r="S21" s="1"/>
      <c r="T21" s="1"/>
      <c r="U21" s="1"/>
      <c r="V21" s="1"/>
      <c r="W21" s="1"/>
    </row>
    <row r="22" spans="1:23" ht="19.5" customHeight="1" x14ac:dyDescent="0.35">
      <c r="A22" s="1"/>
      <c r="B22" s="31"/>
      <c r="C22" s="32"/>
      <c r="D22" s="23"/>
      <c r="E22" s="44"/>
      <c r="F22" s="45"/>
      <c r="G22" s="58"/>
      <c r="H22" s="45"/>
      <c r="I22" s="58"/>
      <c r="J22" s="45"/>
      <c r="K22" s="29" t="b">
        <f t="shared" si="0"/>
        <v>0</v>
      </c>
      <c r="L22" s="30"/>
      <c r="M22" s="15"/>
      <c r="N22" s="15"/>
      <c r="O22" s="15"/>
      <c r="P22" s="15"/>
      <c r="Q22" s="15"/>
      <c r="R22" s="15"/>
      <c r="S22" s="1"/>
      <c r="T22" s="1"/>
      <c r="U22" s="1"/>
      <c r="V22" s="1"/>
      <c r="W22" s="1"/>
    </row>
    <row r="23" spans="1:23" ht="19.5" customHeight="1" thickBot="1" x14ac:dyDescent="0.4">
      <c r="A23" s="1"/>
      <c r="B23" s="52"/>
      <c r="C23" s="53"/>
      <c r="D23" s="54"/>
      <c r="E23" s="131"/>
      <c r="F23" s="54"/>
      <c r="G23" s="101"/>
      <c r="H23" s="54"/>
      <c r="I23" s="101"/>
      <c r="J23" s="54"/>
      <c r="K23" s="116" t="b">
        <f t="shared" si="0"/>
        <v>0</v>
      </c>
      <c r="L23" s="117"/>
      <c r="M23" s="15"/>
      <c r="N23" s="15"/>
      <c r="O23" s="15"/>
      <c r="P23" s="15"/>
      <c r="Q23" s="15"/>
      <c r="R23" s="15"/>
      <c r="S23" s="1"/>
      <c r="T23" s="1"/>
      <c r="U23" s="1"/>
      <c r="V23" s="1"/>
      <c r="W23" s="1"/>
    </row>
    <row r="24" spans="1:23" ht="7.5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thickBot="1" x14ac:dyDescent="0.4">
      <c r="A25" s="1"/>
      <c r="B25" s="42" t="s">
        <v>38</v>
      </c>
      <c r="C25" s="41"/>
      <c r="D25" s="41"/>
      <c r="E25" s="41"/>
      <c r="F25" s="43"/>
      <c r="G25" s="33">
        <f>SUM(K9:L23)</f>
        <v>0</v>
      </c>
      <c r="H25" s="34"/>
      <c r="I25" s="42" t="s">
        <v>39</v>
      </c>
      <c r="J25" s="41"/>
      <c r="K25" s="41"/>
      <c r="L25" s="41"/>
      <c r="M25" s="43"/>
      <c r="N25" s="40" t="e">
        <f>(Q9/60)*(M17/((O9*5)*M9))</f>
        <v>#DIV/0!</v>
      </c>
      <c r="O25" s="41"/>
      <c r="P25" s="123"/>
      <c r="Q25" s="124"/>
      <c r="R25" s="125"/>
      <c r="S25" s="1"/>
      <c r="T25" s="1"/>
      <c r="U25" s="1"/>
      <c r="V25" s="1"/>
      <c r="W25" s="1"/>
    </row>
    <row r="26" spans="1:23" ht="19.5" customHeight="1" thickBot="1" x14ac:dyDescent="0.4">
      <c r="A26" s="1"/>
      <c r="B26" s="42" t="s">
        <v>19</v>
      </c>
      <c r="C26" s="41"/>
      <c r="D26" s="41"/>
      <c r="E26" s="41"/>
      <c r="F26" s="43"/>
      <c r="G26" s="33">
        <f>SUM(M14:R15,O17:R20)</f>
        <v>0</v>
      </c>
      <c r="H26" s="34"/>
      <c r="I26" s="120" t="s">
        <v>40</v>
      </c>
      <c r="J26" s="121"/>
      <c r="K26" s="121"/>
      <c r="L26" s="121"/>
      <c r="M26" s="45"/>
      <c r="N26" s="40">
        <f>(O9*5)*M9</f>
        <v>0</v>
      </c>
      <c r="O26" s="41"/>
      <c r="P26" s="126"/>
      <c r="Q26" s="127"/>
      <c r="R26" s="128"/>
      <c r="S26" s="1"/>
      <c r="T26" s="1"/>
      <c r="U26" s="1"/>
      <c r="V26" s="1"/>
      <c r="W26" s="1"/>
    </row>
    <row r="27" spans="1:23" ht="19.5" customHeight="1" thickBot="1" x14ac:dyDescent="0.55000000000000004">
      <c r="A27" s="1"/>
      <c r="B27" s="42" t="s">
        <v>41</v>
      </c>
      <c r="C27" s="41"/>
      <c r="D27" s="41"/>
      <c r="E27" s="41"/>
      <c r="F27" s="43"/>
      <c r="G27" s="33" t="e">
        <f>N5/((O9*5)*M9)*(Q9/60)</f>
        <v>#DIV/0!</v>
      </c>
      <c r="H27" s="34"/>
      <c r="I27" s="100" t="s">
        <v>42</v>
      </c>
      <c r="J27" s="41"/>
      <c r="K27" s="41"/>
      <c r="L27" s="41"/>
      <c r="M27" s="43"/>
      <c r="N27" s="104" t="e">
        <f>G28+(G28*(N4))</f>
        <v>#DIV/0!</v>
      </c>
      <c r="O27" s="34"/>
      <c r="P27" s="126"/>
      <c r="Q27" s="127"/>
      <c r="R27" s="128"/>
      <c r="S27" s="1"/>
      <c r="T27" s="1"/>
      <c r="U27" s="1"/>
      <c r="V27" s="1"/>
      <c r="W27" s="1"/>
    </row>
    <row r="28" spans="1:23" ht="19.5" customHeight="1" thickBot="1" x14ac:dyDescent="0.55000000000000004">
      <c r="A28" s="1"/>
      <c r="B28" s="42" t="s">
        <v>43</v>
      </c>
      <c r="C28" s="41"/>
      <c r="D28" s="41"/>
      <c r="E28" s="41"/>
      <c r="F28" s="43"/>
      <c r="G28" s="33" t="e">
        <f>SUM(G25:H27,N25)</f>
        <v>#DIV/0!</v>
      </c>
      <c r="H28" s="34"/>
      <c r="I28" s="122" t="s">
        <v>44</v>
      </c>
      <c r="J28" s="32"/>
      <c r="K28" s="32"/>
      <c r="L28" s="32"/>
      <c r="M28" s="23"/>
      <c r="N28" s="104" t="e">
        <f>(N27/F5)</f>
        <v>#DIV/0!</v>
      </c>
      <c r="O28" s="34"/>
      <c r="P28" s="126"/>
      <c r="Q28" s="127"/>
      <c r="R28" s="128"/>
      <c r="S28" s="1"/>
      <c r="T28" s="1"/>
      <c r="U28" s="1"/>
      <c r="V28" s="1"/>
      <c r="W28" s="1"/>
    </row>
    <row r="29" spans="1:23" ht="19.5" customHeight="1" thickBot="1" x14ac:dyDescent="0.55000000000000004">
      <c r="A29" s="1"/>
      <c r="B29" s="42" t="s">
        <v>45</v>
      </c>
      <c r="C29" s="41"/>
      <c r="D29" s="41"/>
      <c r="E29" s="41"/>
      <c r="F29" s="43"/>
      <c r="G29" s="33" t="e">
        <f>G28/F5</f>
        <v>#DIV/0!</v>
      </c>
      <c r="H29" s="34"/>
      <c r="I29" s="115" t="s">
        <v>46</v>
      </c>
      <c r="J29" s="53"/>
      <c r="K29" s="53"/>
      <c r="L29" s="53"/>
      <c r="M29" s="54"/>
      <c r="N29" s="104" t="e">
        <f>N27-G28</f>
        <v>#DIV/0!</v>
      </c>
      <c r="O29" s="34"/>
      <c r="P29" s="129"/>
      <c r="Q29" s="130"/>
      <c r="R29" s="109"/>
      <c r="S29" s="1"/>
      <c r="T29" s="1"/>
      <c r="U29" s="1"/>
      <c r="V29" s="1"/>
      <c r="W29" s="1"/>
    </row>
    <row r="30" spans="1:23" ht="19.5" customHeight="1" thickBot="1" x14ac:dyDescent="0.45">
      <c r="A30" s="1"/>
      <c r="B30" s="6"/>
      <c r="C30" s="1"/>
      <c r="D30" s="1"/>
      <c r="E30" s="1"/>
      <c r="F30" s="1"/>
      <c r="G30" s="1"/>
      <c r="H30" s="1"/>
      <c r="I30" s="4"/>
      <c r="J30" s="4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thickBot="1" x14ac:dyDescent="0.35">
      <c r="A31" s="1"/>
      <c r="B31" s="46"/>
      <c r="C31" s="18"/>
      <c r="D31" s="16" t="s">
        <v>49</v>
      </c>
      <c r="E31" s="17"/>
      <c r="F31" s="17"/>
      <c r="G31" s="17"/>
      <c r="H31" s="17"/>
      <c r="I31" s="18"/>
      <c r="J31" s="4"/>
      <c r="K31" s="4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1"/>
      <c r="B32" s="35"/>
      <c r="C32" s="37"/>
      <c r="D32" s="35"/>
      <c r="E32" s="36"/>
      <c r="F32" s="36"/>
      <c r="G32" s="36"/>
      <c r="H32" s="36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thickBot="1" x14ac:dyDescent="0.35">
      <c r="A33" s="1"/>
      <c r="B33" s="91"/>
      <c r="C33" s="92"/>
      <c r="D33" s="35"/>
      <c r="E33" s="36"/>
      <c r="F33" s="36"/>
      <c r="G33" s="36"/>
      <c r="H33" s="36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 thickBot="1" x14ac:dyDescent="0.35">
      <c r="A34" s="1"/>
      <c r="B34" s="93"/>
      <c r="C34" s="94"/>
      <c r="D34" s="19"/>
      <c r="E34" s="20"/>
      <c r="F34" s="20"/>
      <c r="G34" s="20"/>
      <c r="H34" s="20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 thickBot="1" x14ac:dyDescent="0.35">
      <c r="A35" s="1"/>
      <c r="B35" s="98"/>
      <c r="C35" s="18"/>
      <c r="D35" s="16" t="s">
        <v>47</v>
      </c>
      <c r="E35" s="17"/>
      <c r="F35" s="17"/>
      <c r="G35" s="17"/>
      <c r="H35" s="17"/>
      <c r="I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 thickBot="1" x14ac:dyDescent="0.35">
      <c r="A36" s="1"/>
      <c r="B36" s="19"/>
      <c r="C36" s="21"/>
      <c r="D36" s="19"/>
      <c r="E36" s="20"/>
      <c r="F36" s="20"/>
      <c r="G36" s="20"/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 x14ac:dyDescent="0.3"/>
    <row r="38" spans="1:23" ht="19.5" customHeight="1" x14ac:dyDescent="0.3"/>
    <row r="39" spans="1:23" ht="19.5" customHeight="1" x14ac:dyDescent="0.3"/>
    <row r="40" spans="1:23" ht="19.5" customHeight="1" x14ac:dyDescent="0.3"/>
    <row r="41" spans="1:23" ht="15.75" customHeight="1" x14ac:dyDescent="0.3"/>
    <row r="42" spans="1:23" ht="15.75" customHeight="1" x14ac:dyDescent="0.3"/>
    <row r="43" spans="1:23" ht="15.75" customHeight="1" x14ac:dyDescent="0.3"/>
    <row r="44" spans="1:23" ht="15.75" customHeight="1" x14ac:dyDescent="0.3"/>
    <row r="45" spans="1:23" ht="15.75" customHeight="1" x14ac:dyDescent="0.3"/>
    <row r="46" spans="1:23" ht="15.75" customHeight="1" x14ac:dyDescent="0.3"/>
    <row r="47" spans="1:23" ht="15.75" customHeight="1" x14ac:dyDescent="0.3"/>
    <row r="48" spans="1:2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39">
    <mergeCell ref="B5:E5"/>
    <mergeCell ref="F5:G5"/>
    <mergeCell ref="H5:M5"/>
    <mergeCell ref="N5:O5"/>
    <mergeCell ref="P5:R5"/>
    <mergeCell ref="B7:L7"/>
    <mergeCell ref="M7:R7"/>
    <mergeCell ref="B1:B3"/>
    <mergeCell ref="C1:R3"/>
    <mergeCell ref="B4:C4"/>
    <mergeCell ref="D4:G4"/>
    <mergeCell ref="H4:M4"/>
    <mergeCell ref="N4:O4"/>
    <mergeCell ref="P4:R4"/>
    <mergeCell ref="O8:P8"/>
    <mergeCell ref="Q8:R8"/>
    <mergeCell ref="B9:D9"/>
    <mergeCell ref="E9:F9"/>
    <mergeCell ref="G9:H9"/>
    <mergeCell ref="I9:J9"/>
    <mergeCell ref="K9:L9"/>
    <mergeCell ref="M9:N10"/>
    <mergeCell ref="O9:P10"/>
    <mergeCell ref="Q9:R10"/>
    <mergeCell ref="B8:D8"/>
    <mergeCell ref="E8:F8"/>
    <mergeCell ref="G8:H8"/>
    <mergeCell ref="I8:J8"/>
    <mergeCell ref="K8:L8"/>
    <mergeCell ref="M8:N8"/>
    <mergeCell ref="B10:D10"/>
    <mergeCell ref="E10:F10"/>
    <mergeCell ref="G10:H10"/>
    <mergeCell ref="I10:J10"/>
    <mergeCell ref="K10:L10"/>
    <mergeCell ref="B11:D11"/>
    <mergeCell ref="E11:F11"/>
    <mergeCell ref="G11:H11"/>
    <mergeCell ref="I11:J11"/>
    <mergeCell ref="K11:L11"/>
    <mergeCell ref="M11:R11"/>
    <mergeCell ref="B12:D12"/>
    <mergeCell ref="E12:F12"/>
    <mergeCell ref="G12:H12"/>
    <mergeCell ref="I12:J12"/>
    <mergeCell ref="K12:L12"/>
    <mergeCell ref="M12:N13"/>
    <mergeCell ref="O12:P13"/>
    <mergeCell ref="Q12:R13"/>
    <mergeCell ref="B13:D13"/>
    <mergeCell ref="M14:N15"/>
    <mergeCell ref="O14:P15"/>
    <mergeCell ref="Q14:R15"/>
    <mergeCell ref="B15:D15"/>
    <mergeCell ref="E15:F15"/>
    <mergeCell ref="G15:H15"/>
    <mergeCell ref="I15:J15"/>
    <mergeCell ref="K15:L15"/>
    <mergeCell ref="E13:F13"/>
    <mergeCell ref="G13:H13"/>
    <mergeCell ref="I13:J13"/>
    <mergeCell ref="K13:L13"/>
    <mergeCell ref="B14:D14"/>
    <mergeCell ref="E14:F14"/>
    <mergeCell ref="G14:H14"/>
    <mergeCell ref="I14:J14"/>
    <mergeCell ref="K14:L14"/>
    <mergeCell ref="O16:P16"/>
    <mergeCell ref="Q16:R16"/>
    <mergeCell ref="B17:D17"/>
    <mergeCell ref="E17:F17"/>
    <mergeCell ref="G17:H17"/>
    <mergeCell ref="I17:J17"/>
    <mergeCell ref="K17:L17"/>
    <mergeCell ref="M17:N18"/>
    <mergeCell ref="O17:P18"/>
    <mergeCell ref="Q17:R18"/>
    <mergeCell ref="B16:D16"/>
    <mergeCell ref="E16:F16"/>
    <mergeCell ref="G16:H16"/>
    <mergeCell ref="I16:J16"/>
    <mergeCell ref="K16:L16"/>
    <mergeCell ref="M16:N16"/>
    <mergeCell ref="B18:D18"/>
    <mergeCell ref="E18:F18"/>
    <mergeCell ref="G18:H18"/>
    <mergeCell ref="I18:J18"/>
    <mergeCell ref="K18:L18"/>
    <mergeCell ref="B19:D19"/>
    <mergeCell ref="E19:F19"/>
    <mergeCell ref="G19:H19"/>
    <mergeCell ref="I19:J19"/>
    <mergeCell ref="K19:L19"/>
    <mergeCell ref="B20:D20"/>
    <mergeCell ref="E20:F20"/>
    <mergeCell ref="G20:H20"/>
    <mergeCell ref="I20:J20"/>
    <mergeCell ref="K20:L20"/>
    <mergeCell ref="B21:D21"/>
    <mergeCell ref="E21:F21"/>
    <mergeCell ref="G21:H21"/>
    <mergeCell ref="I21:J21"/>
    <mergeCell ref="K21:L21"/>
    <mergeCell ref="P25:R29"/>
    <mergeCell ref="B26:F26"/>
    <mergeCell ref="G26:H26"/>
    <mergeCell ref="I26:M26"/>
    <mergeCell ref="N26:O26"/>
    <mergeCell ref="B27:F27"/>
    <mergeCell ref="B22:D22"/>
    <mergeCell ref="E22:F22"/>
    <mergeCell ref="G22:H22"/>
    <mergeCell ref="I22:J22"/>
    <mergeCell ref="K22:L22"/>
    <mergeCell ref="B23:D23"/>
    <mergeCell ref="E23:F23"/>
    <mergeCell ref="G23:H23"/>
    <mergeCell ref="I23:J23"/>
    <mergeCell ref="K23:L23"/>
    <mergeCell ref="G27:H27"/>
    <mergeCell ref="I27:M27"/>
    <mergeCell ref="N27:O27"/>
    <mergeCell ref="B28:F28"/>
    <mergeCell ref="G28:H28"/>
    <mergeCell ref="I28:M28"/>
    <mergeCell ref="N28:O28"/>
    <mergeCell ref="B25:F25"/>
    <mergeCell ref="G25:H25"/>
    <mergeCell ref="I25:M25"/>
    <mergeCell ref="N25:O25"/>
    <mergeCell ref="B35:C36"/>
    <mergeCell ref="D35:I36"/>
    <mergeCell ref="B29:F29"/>
    <mergeCell ref="G29:H29"/>
    <mergeCell ref="I29:M29"/>
    <mergeCell ref="N29:O29"/>
    <mergeCell ref="B31:C32"/>
    <mergeCell ref="D31:I34"/>
    <mergeCell ref="B33:C34"/>
  </mergeCells>
  <printOptions horizontalCentered="1" verticalCentered="1"/>
  <pageMargins left="0.15748031496062989" right="0.15748031496062989" top="0.78740157480314965" bottom="0.78740157480314965" header="0" footer="0"/>
  <pageSetup paperSize="9" scale="9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de Ejemplo</vt:lpstr>
      <vt:lpstr>Tu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Oliveira</dc:creator>
  <cp:lastModifiedBy>Dirney Contreras Mendez</cp:lastModifiedBy>
  <dcterms:created xsi:type="dcterms:W3CDTF">2021-05-05T23:42:29Z</dcterms:created>
  <dcterms:modified xsi:type="dcterms:W3CDTF">2026-07-05T12:36:05Z</dcterms:modified>
</cp:coreProperties>
</file>